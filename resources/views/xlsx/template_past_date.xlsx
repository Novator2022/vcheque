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codeName="ЭтаКнига"/>
  <mc:AlternateContent xmlns:mc="http://schemas.openxmlformats.org/markup-compatibility/2006">
    <mc:Choice Requires="x15">
      <x15ac:absPath xmlns:x15ac="http://schemas.microsoft.com/office/spreadsheetml/2010/11/ac" url="C:\Users\pc\Documents\НДС\ЧЕКИ\"/>
    </mc:Choice>
  </mc:AlternateContent>
  <xr:revisionPtr revIDLastSave="0" documentId="13_ncr:1_{7DF63AC3-5BCC-46E0-85C9-F579E0C3CD16}" xr6:coauthVersionLast="45" xr6:coauthVersionMax="47" xr10:uidLastSave="{00000000-0000-0000-0000-000000000000}"/>
  <bookViews>
    <workbookView xWindow="-120" yWindow="-120" windowWidth="29040" windowHeight="15840" xr2:uid="{00000000-000D-0000-FFFF-FFFF00000000}"/>
  </bookViews>
  <sheets>
    <sheet name="ЗАЯВКА НА ЧЕКИ" sheetId="1" r:id="rId1"/>
    <sheet name="СПИСОК ЧЕКОВЫХ КОМПАНИЙ" sheetId="2" r:id="rId2"/>
  </sheets>
  <calcPr calcId="191029" forceFullCalc="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8" i="1" l="1"/>
  <c r="F144" i="1"/>
  <c r="F143" i="1"/>
  <c r="F142" i="1"/>
  <c r="F141" i="1"/>
  <c r="G140" i="1"/>
  <c r="F140" i="1"/>
  <c r="F132" i="1"/>
  <c r="F131" i="1"/>
  <c r="F130" i="1"/>
  <c r="F129" i="1"/>
  <c r="G128" i="1"/>
  <c r="F128" i="1"/>
  <c r="F120" i="1"/>
  <c r="F119" i="1"/>
  <c r="F118" i="1"/>
  <c r="F117" i="1"/>
  <c r="G116" i="1"/>
  <c r="F116" i="1"/>
  <c r="F108" i="1"/>
  <c r="F107" i="1"/>
  <c r="F106" i="1"/>
  <c r="F105" i="1"/>
  <c r="G104" i="1"/>
  <c r="F104" i="1"/>
  <c r="F96" i="1"/>
  <c r="F95" i="1"/>
  <c r="F94" i="1"/>
  <c r="F93" i="1"/>
  <c r="G92" i="1"/>
  <c r="F92" i="1"/>
  <c r="F84" i="1"/>
  <c r="F83" i="1"/>
  <c r="F82" i="1"/>
  <c r="F81" i="1"/>
  <c r="G80" i="1"/>
  <c r="F80" i="1"/>
  <c r="F72" i="1"/>
  <c r="F71" i="1"/>
  <c r="F70" i="1"/>
  <c r="F69" i="1"/>
  <c r="G68" i="1"/>
  <c r="F68" i="1"/>
  <c r="F60" i="1"/>
  <c r="F59" i="1"/>
  <c r="F58" i="1"/>
  <c r="F57" i="1"/>
  <c r="G56" i="1"/>
  <c r="F56" i="1"/>
  <c r="F48" i="1"/>
  <c r="F47" i="1"/>
  <c r="F46" i="1"/>
  <c r="F45" i="1"/>
  <c r="G44" i="1"/>
  <c r="F44" i="1"/>
  <c r="F36" i="1"/>
  <c r="F35" i="1"/>
  <c r="F34" i="1"/>
  <c r="F33" i="1"/>
  <c r="G32" i="1"/>
  <c r="F32" i="1"/>
  <c r="F24" i="1"/>
  <c r="F23" i="1"/>
  <c r="F22" i="1"/>
  <c r="F21" i="1"/>
  <c r="G20" i="1"/>
  <c r="F20" i="1"/>
  <c r="F121" i="1" l="1"/>
  <c r="F25" i="1"/>
  <c r="F49" i="1"/>
  <c r="F133" i="1"/>
  <c r="F145" i="1"/>
  <c r="F97" i="1"/>
  <c r="F109" i="1"/>
  <c r="F61" i="1"/>
  <c r="F85" i="1"/>
  <c r="F73" i="1"/>
  <c r="F37" i="1"/>
  <c r="F12" i="1"/>
  <c r="F11" i="1"/>
  <c r="F10" i="1"/>
  <c r="F9" i="1"/>
  <c r="F8" i="1"/>
  <c r="F13" i="1" l="1"/>
</calcChain>
</file>

<file path=xl/sharedStrings.xml><?xml version="1.0" encoding="utf-8"?>
<sst xmlns="http://schemas.openxmlformats.org/spreadsheetml/2006/main" count="378" uniqueCount="59">
  <si>
    <t>Да</t>
  </si>
  <si>
    <t>шт</t>
  </si>
  <si>
    <t>Пропишите нужную вам номенклатуру</t>
  </si>
  <si>
    <t>Номенклатура
(товары или услуги)</t>
  </si>
  <si>
    <t>Нет</t>
  </si>
  <si>
    <t>Дата чека</t>
  </si>
  <si>
    <t>Общая</t>
  </si>
  <si>
    <t>сумма</t>
  </si>
  <si>
    <t>за товар</t>
  </si>
  <si>
    <t>или</t>
  </si>
  <si>
    <t>услугу</t>
  </si>
  <si>
    <t>Нужен ли номер</t>
  </si>
  <si>
    <t>счёта-фатуры?</t>
  </si>
  <si>
    <t>(предоставляется</t>
  </si>
  <si>
    <t>за дополнительую</t>
  </si>
  <si>
    <t>плату)</t>
  </si>
  <si>
    <t>Название вашего ИП/ООО</t>
  </si>
  <si>
    <t>(для вашего контроля,</t>
  </si>
  <si>
    <t>Цена за</t>
  </si>
  <si>
    <t>единицу</t>
  </si>
  <si>
    <t>товара</t>
  </si>
  <si>
    <t>Единица</t>
  </si>
  <si>
    <t>измерения</t>
  </si>
  <si>
    <t>Кол-во
товара</t>
  </si>
  <si>
    <t>Выберите
нашу компанию</t>
  </si>
  <si>
    <t>№
чека</t>
  </si>
  <si>
    <t>не указывается в чеке)</t>
  </si>
  <si>
    <t>без НДС 2 кв. 2024: ООО "Оилтранс"</t>
  </si>
  <si>
    <t>без НДС 3 кв. 2024: ООО "Феникс"</t>
  </si>
  <si>
    <t>НДС:</t>
  </si>
  <si>
    <t>Итоговая сумма чека:</t>
  </si>
  <si>
    <t>Название компании, с НДС /без НДС</t>
  </si>
  <si>
    <t>ИНН</t>
  </si>
  <si>
    <t>ОКВЭДы компаний</t>
  </si>
  <si>
    <t>41.20 Строительство жилых и нежилых зданий, 01.11.19 Выращивание прочих зерновых культур, 01.12 Выращивание риса, 01.29 Выращивание прочих многолетних культур, 01.61 Предоставление услуг в области растениеводства, 01.63 Деятельность сельскохозяйственная после сбора урожая, 25.12 Производство металлических дверей и окон, 33.14 Ремонт электрического оборудования, 33.20 Монтаж промышленных машин и оборудования, 35.12.2 Технологическое присоединение к распределительным электросетям, 38.11 Сбор неопасных отходов, 38.12 Сбор опасных отходов, 38.21 Обработка и утилизация неопасных отходов, 38.22 Обработка и утилизация опасных отходов, 41.10 Разработка строительных проектов, 42.22.2 Строительство местных линий электропередачи и связи, 43.11 Разборка и снос зданий, 43.12 Подготовка строительной площадки,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43.99.5 Работы по монтажу стальных строительных конструкций, 43.99.7 Работы по сборке и монтажу сборных конструкций, 45.31.2 Деятельность агентов по оптовой торговле автомобильными деталями, узлами и принадлежностями, 46.13 Деятельность агентов по оптовой торговле лесоматериалами и строительными материалами, 46.49.33 Торговля оптовая писчебумажными и канцелярскими товарами, 46.65 Торговля оптовая офисной мебелью, 46.66 Торговля оптовая прочей офисной техникой и оборудованием, 46.69 Торговля оптовая прочими машинами и оборудованием, 46.71 Торговля оптовая твердым, жидким и газообразным топливом и подобными продуктами, 46.71.9 Торговля оптовая прочим топливом и подобными продуктами, 46.73 Торговля оптовая лесоматериалами, строительными материалами и санитарно-техническим оборудованием, 47.91.2 Торговля розничная, осуществляемая непосредственно при помощи информационно-коммуникационной сети Интернет, 49.20.9 Перевозка прочих грузов, 49.41 Деятельность автомобильного грузового транспорта, 49.42 Предоставление услуг по перевозкам, 53.20.31 Деятельность по курьерской доставке различными видами транспорта, 62.01 Разработка компьютерного программного обеспечения,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68.32 Управление недвижимым имуществом за вознаграждение или на договорной основе, 69.20 Деятельность по оказанию услуг в области бухгалтерского учета, по проведению финансового аудита, по налоговому консультированию,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71.20.62 Экспертиза проектной документации и результатов инженерных изысканий негосударственная, 73.11 Деятельность рекламных агентств, 74.90.22 Деятельность, направленная на установление рыночной или иной стоимости совокупности вещей, составляющих имущество лица, в том числе имущество определенного вида (движимое или недвижимое, в том числе предприятия), 77.32 Аренда и лизинг строительных машин и оборудования, 82.19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 95.12 Ремонт коммуникационного оборудования.</t>
  </si>
  <si>
    <t>47.19 Торговля розничная прочая в неспециализированных магазинах, 46.69 Торговля оптовая прочими машинами и оборудованием, 46.90 Торговля оптовая неспециализированная, 47.26 Торговля розничная табачными изделиями в специализированных магазинах, 47.41 Торговля розничная компьютерами, периферийными устройствами к ним и программным обеспечением в специализированных магазинах, 73.11 Деятельность рекламных агентств.</t>
  </si>
  <si>
    <t>46.15.3 Деятельность агентов по оптовой торговле электротоварами и бытовыми электроустановочными изделиями,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43.99.1 Работы гидроизоляционные, 46.19 Деятельность агентов по оптовой торговле универсальным ассортиментом товаров, 46.62 Торговля оптовая станками, 46.69 Торговля оптовая прочими машинами и оборудованием, 46.73.4 Торговля оптовая лакокрасочными материалами, 46.73.5 Торговля оптовая листовым стеклом, 46.73.6 Торговля оптовая прочими строительными материалами и изделиями, 46.74 Торговля оптовая скобяными изделиями, водопроводным и отопительным оборудованием и принадлежностями, 46.74.2 Торговля оптовая водопроводным и отопительным оборудованием и санитарно-технической арматурой, 46.74.3 Торговля оптовая ручными инструментами, 46.90 Торговля оптовая неспециализированная, 47.19 Торговля розничная прочая в неспециализированных магазинах, 47.42 Торговля розничная телекоммуникационным оборудованием, включая розничную торговлю мобильными телефонами, в специализированных магазинах, 47.52 Торговля розничная скобяными изделиями, лакокрасочными материалами и стеклом в специализированных магазинах, 47.52.5 Торговля розничная санитарно-техническим оборудованием в специализированных магазинах, 47.54 Торговля розничная бытовыми электротоварами в специализированных магазинах, 52.10 Деятельность по складированию и хранению, 52.21 Деятельность вспомогательная, связанная с сухопутным транспортом, 52.21.1 Деятельность вспомогательная, связанная с железнодорожным транспортом, 52.21.2 Деятельность вспомогательная, связанная с автомобильным транспортом, 52.24 Транспортная обработка грузов, 52.29 Деятельность вспомогательная прочая, связанная с перевозками, 71.11.1 Деятельность в области архитектуры, связанная с созданием архитектурного объекта, 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</si>
  <si>
    <t>46.90 Торговля оптовая неспециализированная, 01.11.19 Выращивание прочих зерновых культур, 01.12 Выращивание риса, 01.29 Выращивание прочих многолетних культур, 01.61 Предоставление услуг в области растениеводства, 01.63 Деятельность сельскохозяйственная после сбора урожая, 25.12 Производство металлических дверей и окон, 33.14 Ремонт электрического оборудования, 33.20 Монтаж промышленных машин и оборудования, 38.11 Сбор неопасных отходов, 38.12 Сбор опасных отходов, 38.21 Обработка и утилизация неопасных отходов, 38.22 Обработка и утилизация опасных отходов, 41.20 Строительство жилых и нежилых зданий, 42.99 Строительство прочих инженерных сооружений, не включенных в другие группировки, 43.11 Разборка и снос зданий, 43.12 Подготовка строительной площадки, 43.13 Разведочное бурение,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43.31 Производство штукатурных работ, 43.32 Работы столярные и плотничные, 43.33 Работы по устройству покрытий полов и облицовке стен, 43.34 Производство малярных и стекольных работ, 43.39 Производство прочих отделочных и завершающих работ, 43.91 Производство кровельных работ, 43.99 Работы строительные специализированные прочие, не включенные в другие группировки, 43.99.5 Работы по монтажу стальных строительных конструкций, 46.49.33 Торговля оптовая писчебумажными и канцелярскими товарами, 46.65 Торговля оптовая офисной мебелью, 46.71 Торговля оптовая твердым, жидким и газообразным топливом и подобными продуктами, 46.72 Торговля оптовая металлами и металлическими рудами, 46.73 Торговля оптовая лесоматериалами, строительными материалами и санитарно-техническим оборудованием, 46.74 Торговля оптовая скобяными изделиями, водопроводным и отопительным оборудованием и принадлежностями, 47.91.2 Торговля розничная, осуществляемая непосредственно при помощи информационно-коммуникационной сети Интернет, 49.41 Деятельность автомобильного грузового транспорта, 49.42 Предоставление услуг по перевозкам, 52.10 Деятельность по складированию и хранению, 53.20.31 Деятельность по курьерской доставке различными видами транспорта, 62.02 Деятельность консультативная и работы в области компьютерных технологий, 63.11 Деятельность по обработке данных, предоставление услуг по размещению информации и связанная с этим деятельность, 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71.20.62 Экспертиза проектной документации и результатов инженерных изысканий негосударственная, 74.90.22 Деятельность, направленная на установление рыночной или иной стоимости совокупности вещей, составляющих имущество лица, в том числе имущество определенного вида (движимое или недвижимое, в том числе предприятия), 77.32 Аренда и лизинг строительных машин и оборудования, 81.10 Деятельность по комплексному обслуживанию помещений, 81.22 Деятельность по чистке и уборке жилых зданий и нежилых помещений прочая, 81.29 Деятельность по чистке и уборке прочая, 81.30 Деятельность по благоустройству ландшафта, 82.19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 82.92 Деятельность по упаковыванию товаров.</t>
  </si>
  <si>
    <t>41.20 Строительство жилых и нежилых зданий, 42.21 Строительство инженерных коммуникаций для водоснабжения и водоотведения, газоснабжения, 43.11 Разборка и снос зданий, 43.99 Работы строительные специализированные прочие, не включенные в другие группировки, 46.73 Торговля оптовая лесоматериалами, строительными материалами и санитарно-техническим оборудованием, 73.11 Деятельность рекламных агентств, 96.09 Предоставление прочих персональных услуг, не включенных в другие группировки.</t>
  </si>
  <si>
    <t>46.71 Торговля оптовая твердым, жидким и газообразным топливом и подобными продуктами, 41.20 Строительство жилых и нежилых зданий, 42.11 Строительство автомобильных дорог и автомагистралей, 43.11 Разборка и снос зданий, 43.12 Подготовка строительной площадки, 43.13 Разведочное бурение,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43.31 Производство штукатурных работ, 43.32 Работы столярные и плотничные, 43.33 Работы по устройству покрытий полов и облицовке стен, 43.34 Производство малярных и стекольных работ, 43.39 Производство прочих отделочных и завершающих работ, 43.91 Производство кровельных работ, 43.99 Работы строительные специализированные прочие, не включенные в другие группировки, 45.11 Торговля легковыми автомобилями и грузовыми автомобилями малой грузоподъемности, 45.19 Торговля прочими автотранспортными средствами, 45.20 Техническое обслуживание и ремонт автотранспортных средств, 45.31 Торговля оптовая автомобильными деталями, узлами и принадлежностями, 46.62 Торговля оптовая станками, 46.66 Торговля оптовая прочей офисной техникой и оборудованием, 46.69 Торговля оптовая прочими машинами и оборудованием, 46.73 Торговля оптовая лесоматериалами, строительными материалами и санитарно-техническим оборудованием, 46.74 Торговля оптовая скобяными изделиями, водопроводным и отопительным оборудованием и принадлежностями, 46.90 Торговля оптовая неспециализированная, 47.19 Торговля розничная прочая в неспециализированных магазинах, 47.71 Торговля розничная одеждой в специализированных магазинах, 47.72 Торговля розничная обувью и изделиями из кожи в специализированных магазинах, 47.73 Торговля розничная лекарственными средствами в специализированных магазинах (аптеках), 47.99 Торговля розничная прочая вне магазинов, палаток, рынков, 49.41 Деятельность автомобильного грузового транспорта, 49.42 Предоставление услуг по перевозкам, 52.10 Деятельность по складированию и хранению, 52.21 Деятельность вспомогательная, связанная с сухопутным транспортом, 52.24 Транспортная обработка грузов, 52.29 Деятельность вспомогательная прочая, связанная с перевозками, 53.20 Деятельность почтовой связи прочая и курьерская деятельность, 62.09 Деятельность, связанная с использованием вычислительной техники и информационных технологий, прочая, 81.10 Деятельность по комплексному обслуживанию помещений, 81.21 Деятельность по общей уборке зданий, 81.22 Деятельность по чистке и уборке жилых зданий и нежилых помещений прочая, 81.29 Деятельность по чистке и уборке прочая, 82.92 Деятельность по упаковыванию товаров.</t>
  </si>
  <si>
    <t>43.29 Производство прочих строительно-монтажных работ, 41.10 Разработка строительных проектов, 41.20 Строительство жилых и нежилых зданий, 42.11 Строительство автомобильных дорог и автомагистралей, 43.11 Разборка и снос зданий, 43.12 Подготовка строительной площадки, 43.13 Разведочное бурение, 43.21 Производство электромонтажных работ, 43.22 Производство санитарно-технических работ, монтаж отопительных систем и систем кондиционирования воздуха, 43.31 Производство штукатурных работ, 43.32 Работы столярные и плотничные, 43.33 Работы по устройству покрытий полов и облицовке стен, 43.34 Производство малярных и стекольных работ, 43.39 Производство прочих отделочных и завершающих работ, 43.91 Производство кровельных работ, 43.99 Работы строительные специализированные прочие, не включенные в другие группировки, 45.11 Торговля легковыми автомобилями и грузовыми автомобилями малой грузоподъемности, 45.19 Торговля прочими автотранспортными средствами, 45.20 Техническое обслуживание и ремонт автотранспортных средств, 45.31 Торговля оптовая автомобильными деталями, узлами и принадлежностями, 46.62 Торговля оптовая станками, 46.66 Торговля оптовая прочей офисной техникой и оборудованием, 46.69 Торговля оптовая прочими машинами и оборудованием, 46.71 Торговля оптовая твердым, жидким и газообразным топливом и подобными продуктами, 46.73 Торговля оптовая лесоматериалами, строительными материалами и санитарно-техническим оборудованием, 46.74 Торговля оптовая скобяными изделиями, водопроводным и отопительным оборудованием и принадлежностями, 46.90 Торговля оптовая неспециализированная, 49.41 Деятельность автомобильного грузового транспорта, 49.42 Предоставление услуг по перевозкам, 52.10 Деятельность по складированию и хранению, 52.21 Деятельность вспомогательная, связанная с сухопутным транспортом, 52.24 Транспортная обработка грузов, 52.29 Деятельность вспомогательная прочая, связанная с перевозками, 81.10 Деятельность по комплексному обслуживанию помещений, 81.21 Деятельность по общей уборке зданий, 81.22 Деятельность по чистке и уборке жилых зданий и нежилых помещений прочая, 81.29 Деятельность по чистке и уборке прочая.</t>
  </si>
  <si>
    <t>82.92 Деятельность по упаковыванию товаров, 41.20 Строительство жилых и нежилых зданий, 42.11 Строительство автомобильных дорог и автомагистралей, 42.12 Строительство железных дорог и метро, 42.13 Строительство мостов и тоннелей, 43.11 Разборка и снос зданий, 43.12 Подготовка строительной площадки, 43.13 Разведочное бурение,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43.31 Производство штукатурных работ, 43.32 Работы столярные и плотничные, 43.33 Работы по устройству покрытий полов и облицовке стен, 43.34 Производство малярных и стекольных работ, 43.39 Производство прочих отделочных и завершающих работ, 43.91 Производство кровельных работ, 43.99 Работы строительные специализированные прочие, не включенные в другие группировки, 45.11 Торговля легковыми автомобилями и грузовыми автомобилями малой грузоподъемности, 45.19 Торговля прочими автотранспортными средствами, 45.20 Техническое обслуживание и ремонт автотранспортных средств, 45.31 Торговля оптовая автомобильными деталями, узлами и принадлежностями, 46.62 Торговля оптовая станками, 46.66 Торговля оптовая прочей офисной техникой и оборудованием, 46.69 Торговля оптовая прочими машинами и оборудованием, 46.71 Торговля оптовая твердым, жидким и газообразным топливом и подобными продуктами, 46.73 Торговля оптовая лесоматериалами, строительными материалами и санитарно-техническим оборудованием, 46.74 Торговля оптовая скобяными изделиями, водопроводным и отопительным оборудованием и принадлежностями, 46.90 Торговля оптовая неспециализированная, 47.19 Торговля розничная прочая в неспециализированных магазинах, 47.71 Торговля розничная одеждой в специализированных магазинах, 47.72 Торговля розничная обувью и изделиями из кожи в специализированных магазинах, 47.99 Торговля розничная прочая вне магазинов, палаток, рынков, 49.41 Деятельность автомобильного грузового транспорта, 49.42 Предоставление услуг по перевозкам, 52.10 Деятельность по складированию и хранению, 52.21 Деятельность вспомогательная, связанная с сухопутным транспортом, 52.24 Транспортная обработка грузов, 52.29 Деятельность вспомогательная прочая, связанная с перевозками, 53.20 Деятельность почтовой связи прочая и курьерская деятельность, 62.09 Деятельность, связанная с использованием вычислительной техники и информационных технологий, прочая, 81.10 Деятельность по комплексному обслуживанию помещений, 81.21 Деятельность по общей уборке зданий, 81.22 Деятельность по чистке и уборке жилых зданий и нежилых помещений прочая, 81.29 Деятельность по чистке и уборке прочая.</t>
  </si>
  <si>
    <t>46.74 Торговля оптовая скобяными изделиями, водопроводным и отопительным оборудованием и принадлежностями, 41.20 Строительство жилых и нежилых зданий, 43.11 Разборка и снос зданий, 43.12 Подготовка строительной площадки, 43.21 Производство электромонтажных работ, 43.22 Производство санитарно-технических работ, монтаж отопительных систем и систем кондиционирования воздуха, 43.29 Производство прочих строительно-монтажных работ, 43.32 Работы столярные и плотничные, 43.33 Работы по устройству покрытий полов и облицовке стен, 43.34 Производство малярных и стекольных работ, 43.39 Производство прочих отделочных и завершающих работ, 43.91 Производство кровельных работ, 43.99 Работы строительные специализированные прочие, не включенные в другие группировки, 46.73 Торговля оптовая лесоматериалами, строительными материалами и санитарно-техническим оборудованием, 46.90 Торговля оптовая неспециализированная, 47.52.7 Торговля розничная строительными материалами, не включенными в другие группировки, в специализированных магазинах, 49.41 Деятельность автомобильного грузового транспорта, 49.42 Предоставление услуг по перевозкам, 62.01 Разработка компьютерного программного обеспечения, 62.02 Деятельность консультативная и работы в области компьютерных технологий, 62.03 Деятельность по управлению компьютерным оборудованием, 62.09 Деятельность, связанная с использованием вычислительной техники и информационных технологий, прочая, 73.11 Деятельность рекламных агентств, 73.20 Исследование конъюнктуры рынка и изучение общественного мнения, 81.10 Деятельность по комплексному обслуживанию помещений, 81.22 Деятельность по чистке и уборке жилых зданий и нежилых помещений прочая.</t>
  </si>
  <si>
    <t>9.41.3 Аренда грузового автомобильного транспорта с водителем, 49.42 Предоставление услуг по перевозкам, 52.10 Деятельность по складированию и хранению, 52.29 Деятельность вспомогательная, прочая, связанная с перевозками, 53.20 Деятельность почтовой связи прочая и курьерская деятельность, 77.11 Аренда и лизинг легковых автомобилей и легких автотранспортных средств</t>
  </si>
  <si>
    <t>43.11 Разборка и снос зданий, 43.12 Подготовка строительной площадки, 49.41 Деятельность автомобильного грузового транспорта, 49.42 Предоставление услуг по перевозкам, 81.21 Деятельность по общей уборке зданий</t>
  </si>
  <si>
    <r>
      <rPr>
        <b/>
        <sz val="11"/>
        <color rgb="FF000000"/>
        <rFont val="Calibri"/>
        <family val="2"/>
        <charset val="204"/>
      </rPr>
      <t>без НДС</t>
    </r>
    <r>
      <rPr>
        <sz val="11"/>
        <color rgb="FF000000"/>
        <rFont val="Calibri"/>
        <family val="2"/>
        <charset val="204"/>
      </rPr>
      <t xml:space="preserve"> 2 кв. 2024: ООО "Оилтранс"</t>
    </r>
  </si>
  <si>
    <r>
      <rPr>
        <b/>
        <sz val="11"/>
        <color rgb="FF000000"/>
        <rFont val="Calibri"/>
        <family val="2"/>
        <charset val="204"/>
      </rPr>
      <t>без НДС</t>
    </r>
    <r>
      <rPr>
        <sz val="11"/>
        <color rgb="FF000000"/>
        <rFont val="Calibri"/>
        <family val="2"/>
        <charset val="204"/>
      </rPr>
      <t xml:space="preserve"> 3 кв. 2024: ООО "Феникс"</t>
    </r>
  </si>
  <si>
    <r>
      <rPr>
        <b/>
        <sz val="11"/>
        <color rgb="FF000000"/>
        <rFont val="Calibri"/>
        <family val="2"/>
        <charset val="204"/>
      </rPr>
      <t>без НДС</t>
    </r>
    <r>
      <rPr>
        <sz val="11"/>
        <color rgb="FF000000"/>
        <rFont val="Calibri"/>
        <family val="2"/>
        <charset val="204"/>
      </rPr>
      <t xml:space="preserve"> 4 кв. 2024: ООО "ГиперДрайв"</t>
    </r>
  </si>
  <si>
    <t>Кликните по этой ячейке и скачайте файл "порядок работы" с инструкцией по заполнению данной заявки</t>
  </si>
  <si>
    <t>Выбиваемые даты на сегодня</t>
  </si>
  <si>
    <t>без НДС 4 кв. 2024: ООО "ГиперДрайв"</t>
  </si>
  <si>
    <t>с НДС 1 кв. 2024: ООО "Бригант" (с/ф возможна только от другой компании)</t>
  </si>
  <si>
    <t>с НДС 1 кв. 2024: ООО "Восток" (с/ф возможна только от другой компании)</t>
  </si>
  <si>
    <t>с НДС 1 кв. 2024: ООО "Барс" (с/ф возможна только от другой компании)</t>
  </si>
  <si>
    <t>с НДС 1 кв. 2024: ООО "Стронг" (с/ф возможна только от другой компании)</t>
  </si>
  <si>
    <t>с НДС 2 кв. 2024: ООО "Керамик групп" (с/ф возможна только от другой компании)</t>
  </si>
  <si>
    <t>с НДС 3 кв. 2024: ООО "Томса" (с/ф возможна только от другой компании)</t>
  </si>
  <si>
    <t>с НДС 4 кв. 2024: ООО "Шпатл-Инко" (с/ф возможна только от другой компании)</t>
  </si>
  <si>
    <t>с НДС 4 кв. 2024: ООО "Акцент" (с/ф возможна только от другой компании)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</si>
</sst>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_₽"/>
  </numFmts>
  <fonts count="11" x14ac:knownFonts="1">
    <font>
      <sz val="11"/>
      <color rgb="FF000000"/>
      <name val="Calibri"/>
    </font>
    <font>
      <b/>
      <sz val="11"/>
      <color rgb="FF000000"/>
      <name val="Calibri"/>
      <family val="2"/>
      <charset val="204"/>
    </font>
    <font>
      <sz val="9"/>
      <color rgb="FF000000"/>
      <name val="Calibri"/>
      <family val="2"/>
      <charset val="204"/>
    </font>
    <font>
      <b/>
      <sz val="14"/>
      <color rgb="FF000000"/>
      <name val="Calibri"/>
      <family val="2"/>
      <charset val="204"/>
    </font>
    <font>
      <sz val="11"/>
      <color rgb="FF000000"/>
      <name val="Calibri"/>
      <family val="2"/>
      <charset val="204"/>
    </font>
    <font>
      <b/>
      <sz val="11"/>
      <color rgb="FF000000"/>
      <name val="Calibri"/>
      <family val="2"/>
      <charset val="204"/>
    </font>
    <font>
      <b/>
      <sz val="18"/>
      <color rgb="FF000000"/>
      <name val="Calibri"/>
      <family val="2"/>
      <charset val="204"/>
    </font>
    <font>
      <sz val="10"/>
      <color rgb="FF000000"/>
      <name val="Calibri"/>
      <family val="2"/>
      <charset val="204"/>
    </font>
    <font>
      <i/>
      <sz val="9"/>
      <color rgb="FF000000"/>
      <name val="Calibri"/>
      <family val="2"/>
      <charset val="204"/>
    </font>
    <font>
      <u/>
      <sz val="11"/>
      <color theme="10"/>
      <name val="Calibri"/>
      <family val="2"/>
      <charset val="204"/>
    </font>
    <font>
      <u/>
      <sz val="16"/>
      <color theme="10"/>
      <name val="Calibri"/>
      <family val="2"/>
      <charset val="204"/>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9"/>
        <bgColor rgb="FFC3D69B"/>
      </patternFill>
    </fill>
  </fills>
  <borders count="27">
    <border>
      <left/>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top style="thick">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ck">
        <color rgb="FF000000"/>
      </top>
      <bottom/>
      <diagonal/>
    </border>
    <border>
      <left style="thin">
        <color rgb="FF000000"/>
      </left>
      <right style="thin">
        <color rgb="FF000000"/>
      </right>
      <top style="thick">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000000"/>
      </left>
      <right style="thick">
        <color rgb="FF000000"/>
      </right>
      <top style="thick">
        <color rgb="FF000000"/>
      </top>
      <bottom/>
      <diagonal/>
    </border>
    <border>
      <left style="thick">
        <color rgb="FF000000"/>
      </left>
      <right style="thick">
        <color rgb="FF000000"/>
      </right>
      <top/>
      <bottom style="thick">
        <color rgb="FF000000"/>
      </bottom>
      <diagonal/>
    </border>
    <border>
      <left/>
      <right style="thin">
        <color rgb="FF000000"/>
      </right>
      <top style="thick">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style="thick">
        <color rgb="FF000000"/>
      </right>
      <top/>
      <bottom/>
      <diagonal/>
    </border>
    <border>
      <left/>
      <right/>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right style="thin">
        <color theme="0" tint="-0.14999847407452621"/>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bottom/>
      <diagonal/>
    </border>
    <border>
      <left/>
      <right/>
      <top style="thin">
        <color theme="0" tint="-0.14999847407452621"/>
      </top>
      <bottom/>
      <diagonal/>
    </border>
  </borders>
  <cellStyleXfs count="2">
    <xf numFmtId="0" fontId="0" fillId="0" borderId="0"/>
    <xf numFmtId="0" fontId="9" fillId="0" borderId="0" applyNumberFormat="0" applyFill="0" applyBorder="0" applyAlignment="0" applyProtection="0"/>
  </cellStyleXfs>
  <cellXfs count="58">
    <xf numFmtId="0" fontId="0" fillId="0" borderId="0" xfId="0"/>
    <xf numFmtId="0" fontId="4" fillId="0" borderId="0" xfId="0" applyFont="1"/>
    <xf numFmtId="0" fontId="4" fillId="2" borderId="0" xfId="0" applyFont="1" applyFill="1"/>
    <xf numFmtId="0" fontId="2" fillId="3" borderId="5" xfId="0" applyFont="1" applyFill="1" applyBorder="1" applyAlignment="1">
      <alignment horizontal="left" wrapText="1"/>
    </xf>
    <xf numFmtId="0" fontId="2" fillId="3" borderId="6" xfId="0" applyFont="1" applyFill="1" applyBorder="1" applyAlignment="1">
      <alignment horizontal="left" wrapText="1"/>
    </xf>
    <xf numFmtId="0" fontId="2" fillId="3" borderId="7" xfId="0" applyFont="1" applyFill="1" applyBorder="1" applyAlignment="1">
      <alignment horizontal="left" wrapText="1"/>
    </xf>
    <xf numFmtId="0" fontId="2" fillId="3" borderId="4" xfId="0" applyFont="1" applyFill="1" applyBorder="1" applyAlignment="1">
      <alignment horizontal="center" wrapText="1"/>
    </xf>
    <xf numFmtId="0" fontId="8" fillId="3" borderId="10" xfId="0" applyFont="1" applyFill="1" applyBorder="1" applyAlignment="1">
      <alignment horizontal="left" wrapText="1"/>
    </xf>
    <xf numFmtId="0" fontId="1" fillId="3" borderId="14" xfId="0" applyFont="1" applyFill="1" applyBorder="1"/>
    <xf numFmtId="0" fontId="1" fillId="3" borderId="14" xfId="0" applyFont="1" applyFill="1" applyBorder="1" applyAlignment="1">
      <alignment horizontal="center"/>
    </xf>
    <xf numFmtId="0" fontId="1" fillId="3" borderId="20" xfId="0" applyFont="1" applyFill="1" applyBorder="1" applyAlignment="1">
      <alignment horizontal="center"/>
    </xf>
    <xf numFmtId="0" fontId="1" fillId="3" borderId="20" xfId="0" applyFont="1" applyFill="1" applyBorder="1"/>
    <xf numFmtId="0" fontId="1" fillId="3" borderId="15" xfId="0" applyFont="1" applyFill="1" applyBorder="1"/>
    <xf numFmtId="0" fontId="1" fillId="3" borderId="15" xfId="0" applyFont="1" applyFill="1" applyBorder="1" applyAlignment="1">
      <alignment horizontal="center"/>
    </xf>
    <xf numFmtId="0" fontId="2" fillId="3" borderId="0" xfId="0" applyFont="1" applyFill="1" applyAlignment="1">
      <alignment horizontal="left" wrapText="1"/>
    </xf>
    <xf numFmtId="4" fontId="3" fillId="3" borderId="18" xfId="0" applyNumberFormat="1" applyFont="1" applyFill="1" applyBorder="1" applyAlignment="1">
      <alignment horizontal="center" vertical="center" wrapText="1"/>
    </xf>
    <xf numFmtId="0" fontId="0" fillId="0" borderId="0" xfId="0" applyAlignment="1">
      <alignment horizontal="center"/>
    </xf>
    <xf numFmtId="0" fontId="4" fillId="0" borderId="0" xfId="0" applyFont="1" applyAlignment="1">
      <alignment horizontal="center"/>
    </xf>
    <xf numFmtId="0" fontId="1" fillId="0" borderId="0" xfId="0" applyFont="1"/>
    <xf numFmtId="0" fontId="1" fillId="0" borderId="0" xfId="0" applyFont="1" applyAlignment="1">
      <alignment horizontal="center"/>
    </xf>
    <xf numFmtId="0" fontId="4" fillId="0" borderId="21" xfId="0" applyFont="1" applyBorder="1"/>
    <xf numFmtId="0" fontId="4" fillId="2" borderId="22" xfId="0" applyFont="1" applyFill="1" applyBorder="1"/>
    <xf numFmtId="164" fontId="2" fillId="3" borderId="4" xfId="0" applyNumberFormat="1" applyFont="1" applyFill="1" applyBorder="1" applyAlignment="1">
      <alignment horizontal="center" wrapText="1"/>
    </xf>
    <xf numFmtId="164" fontId="2" fillId="3" borderId="0" xfId="0" applyNumberFormat="1" applyFont="1" applyFill="1" applyAlignment="1">
      <alignment horizontal="left" wrapText="1"/>
    </xf>
    <xf numFmtId="164" fontId="2" fillId="3" borderId="0" xfId="0" applyNumberFormat="1" applyFont="1" applyFill="1" applyAlignment="1">
      <alignment horizontal="center" wrapText="1"/>
    </xf>
    <xf numFmtId="164" fontId="2" fillId="3" borderId="7" xfId="0" applyNumberFormat="1" applyFont="1" applyFill="1" applyBorder="1" applyAlignment="1">
      <alignment horizontal="left" wrapText="1"/>
    </xf>
    <xf numFmtId="164" fontId="2" fillId="3" borderId="7" xfId="0" applyNumberFormat="1" applyFont="1" applyFill="1" applyBorder="1" applyAlignment="1">
      <alignment horizontal="center" wrapText="1"/>
    </xf>
    <xf numFmtId="14" fontId="4" fillId="0" borderId="0" xfId="0" applyNumberFormat="1" applyFont="1" applyAlignment="1">
      <alignment horizontal="center"/>
    </xf>
    <xf numFmtId="0" fontId="4" fillId="2" borderId="21" xfId="0" applyFont="1" applyFill="1" applyBorder="1"/>
    <xf numFmtId="0" fontId="0" fillId="0" borderId="23" xfId="0" applyBorder="1"/>
    <xf numFmtId="0" fontId="0" fillId="0" borderId="21" xfId="0" applyBorder="1"/>
    <xf numFmtId="0" fontId="0" fillId="2" borderId="24" xfId="0" applyFill="1" applyBorder="1"/>
    <xf numFmtId="0" fontId="0" fillId="0" borderId="25" xfId="0" applyBorder="1"/>
    <xf numFmtId="0" fontId="4" fillId="0" borderId="26" xfId="0" applyFont="1" applyBorder="1"/>
    <xf numFmtId="0" fontId="3" fillId="3" borderId="17" xfId="0" applyFont="1" applyFill="1" applyBorder="1" applyAlignment="1">
      <alignment horizontal="right" vertical="center" wrapText="1"/>
    </xf>
    <xf numFmtId="0" fontId="3" fillId="3" borderId="18" xfId="0" applyFont="1" applyFill="1" applyBorder="1" applyAlignment="1">
      <alignment horizontal="right" vertical="center" wrapText="1"/>
    </xf>
    <xf numFmtId="0" fontId="3" fillId="3" borderId="19" xfId="0" applyFont="1" applyFill="1" applyBorder="1" applyAlignment="1">
      <alignment horizontal="right" vertical="center" wrapText="1"/>
    </xf>
    <xf numFmtId="0" fontId="6" fillId="3" borderId="11" xfId="0" applyFont="1" applyFill="1" applyBorder="1" applyAlignment="1">
      <alignment horizontal="center" vertical="center" wrapText="1"/>
    </xf>
    <xf numFmtId="0" fontId="6" fillId="3" borderId="12" xfId="0" applyFont="1" applyFill="1" applyBorder="1" applyAlignment="1">
      <alignment horizontal="center" vertical="center" wrapText="1"/>
    </xf>
    <xf numFmtId="0" fontId="6" fillId="3" borderId="13" xfId="0" applyFont="1" applyFill="1" applyBorder="1" applyAlignment="1">
      <alignment horizontal="center" vertical="center" wrapText="1"/>
    </xf>
    <xf numFmtId="14" fontId="2" fillId="3" borderId="4" xfId="0" applyNumberFormat="1" applyFont="1" applyFill="1" applyBorder="1" applyAlignment="1">
      <alignment horizontal="center" vertical="center" wrapText="1"/>
    </xf>
    <xf numFmtId="14" fontId="2" fillId="3" borderId="0" xfId="0" applyNumberFormat="1" applyFont="1" applyFill="1" applyAlignment="1">
      <alignment horizontal="left" wrapText="1"/>
    </xf>
    <xf numFmtId="14" fontId="2" fillId="3" borderId="7" xfId="0" applyNumberFormat="1" applyFont="1" applyFill="1" applyBorder="1" applyAlignment="1">
      <alignment horizontal="left" wrapText="1"/>
    </xf>
    <xf numFmtId="0" fontId="5" fillId="3" borderId="4" xfId="0" applyFont="1" applyFill="1" applyBorder="1" applyAlignment="1">
      <alignment horizontal="center" vertical="center" wrapText="1"/>
    </xf>
    <xf numFmtId="0" fontId="5" fillId="3" borderId="0" xfId="0" applyFont="1" applyFill="1" applyAlignment="1">
      <alignment horizontal="left" wrapText="1"/>
    </xf>
    <xf numFmtId="0" fontId="5" fillId="3" borderId="7" xfId="0" applyFont="1" applyFill="1" applyBorder="1" applyAlignment="1">
      <alignment horizontal="left" wrapText="1"/>
    </xf>
    <xf numFmtId="0" fontId="7" fillId="3" borderId="4" xfId="0" applyFont="1" applyFill="1" applyBorder="1" applyAlignment="1">
      <alignment horizontal="center" vertical="center" wrapText="1"/>
    </xf>
    <xf numFmtId="0" fontId="7" fillId="3" borderId="0" xfId="0" applyFont="1" applyFill="1" applyAlignment="1">
      <alignment horizontal="left" wrapText="1"/>
    </xf>
    <xf numFmtId="0" fontId="7" fillId="3" borderId="7" xfId="0" applyFont="1" applyFill="1" applyBorder="1" applyAlignment="1">
      <alignment horizontal="left" wrapText="1"/>
    </xf>
    <xf numFmtId="0" fontId="2" fillId="3" borderId="16" xfId="0" applyFont="1" applyFill="1" applyBorder="1" applyAlignment="1">
      <alignment horizontal="center" vertical="center" wrapText="1"/>
    </xf>
    <xf numFmtId="0" fontId="2" fillId="3" borderId="8" xfId="0" applyFont="1" applyFill="1" applyBorder="1" applyAlignment="1">
      <alignment horizontal="left" wrapText="1"/>
    </xf>
    <xf numFmtId="0" fontId="2" fillId="3" borderId="9" xfId="0" applyFont="1" applyFill="1" applyBorder="1" applyAlignment="1">
      <alignment horizontal="left" wrapText="1"/>
    </xf>
    <xf numFmtId="0" fontId="1" fillId="3" borderId="14" xfId="0" applyFont="1" applyFill="1" applyBorder="1" applyAlignment="1">
      <alignment horizontal="center" vertical="center" wrapText="1"/>
    </xf>
    <xf numFmtId="0" fontId="1" fillId="3" borderId="20" xfId="0" applyFont="1" applyFill="1" applyBorder="1" applyAlignment="1">
      <alignment horizontal="center" vertical="center"/>
    </xf>
    <xf numFmtId="0" fontId="1" fillId="3" borderId="15" xfId="0" applyFont="1" applyFill="1" applyBorder="1" applyAlignment="1">
      <alignment horizontal="center" vertical="center"/>
    </xf>
    <xf numFmtId="0" fontId="10" fillId="4" borderId="1" xfId="1" applyFont="1" applyFill="1" applyBorder="1" applyAlignment="1">
      <alignment horizontal="center" vertical="center" wrapText="1"/>
    </xf>
    <xf numFmtId="0" fontId="10" fillId="4" borderId="2" xfId="1" applyFont="1" applyFill="1" applyBorder="1" applyAlignment="1">
      <alignment horizontal="center" vertical="center" wrapText="1"/>
    </xf>
    <xf numFmtId="0" fontId="10" fillId="4" borderId="3" xfId="1" applyFont="1" applyFill="1" applyBorder="1" applyAlignment="1">
      <alignment horizontal="center" vertical="center" wrapText="1"/>
    </xf>
  </cellXfs>
  <cellStyles count="2">
    <cellStyle name="Гиперссылка" xfId="1" builtinId="8"/>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google.com/drive/folders/1swdcQ5QHGJatQVyHF7a-YQhdF0amXt5l?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dimension ref="A1:Q145"/>
  <sheetViews>
    <sheetView tabSelected="1" zoomScale="140" zoomScaleNormal="140" workbookViewId="0">
      <selection activeCell="B8" sqref="B8"/>
    </sheetView>
  </sheetViews>
  <sheetFormatPr defaultColWidth="8.85546875" defaultRowHeight="15" x14ac:dyDescent="0.25"/>
  <cols>
    <col min="1" max="1" width="7.140625" customWidth="1"/>
    <col min="2" max="2" width="42.85546875" customWidth="1"/>
    <col min="3" max="3" width="11.42578125" customWidth="1"/>
    <col min="4" max="4" width="8.7109375" customWidth="1"/>
    <col min="5" max="5" width="12.85546875" customWidth="1"/>
    <col min="6" max="6" width="16.42578125" customWidth="1"/>
    <col min="7" max="7" width="10.7109375" customWidth="1"/>
    <col min="8" max="8" width="19.28515625" customWidth="1"/>
    <col min="9" max="9" width="24.5703125" customWidth="1"/>
    <col min="10" max="10" width="34.140625" customWidth="1"/>
    <col min="11" max="11" width="27.7109375" customWidth="1"/>
    <col min="12" max="12" width="15" customWidth="1"/>
    <col min="13" max="13" width="14.28515625" customWidth="1"/>
    <col min="14" max="14" width="15.7109375" customWidth="1"/>
    <col min="15" max="15" width="20.28515625" customWidth="1"/>
    <col min="16" max="16" width="20.42578125" customWidth="1"/>
    <col min="17" max="17" width="24.7109375" customWidth="1"/>
    <col min="18" max="18" width="9.85546875" customWidth="1"/>
    <col min="19" max="19" width="11.85546875" bestFit="1" customWidth="1"/>
    <col min="21" max="21" width="11.140625" customWidth="1"/>
  </cols>
  <sheetData>
    <row r="1" spans="1:17" ht="60" customHeight="1" thickTop="1" thickBot="1" x14ac:dyDescent="0.3">
      <c r="A1" s="55" t="s">
        <v>48</v>
      </c>
      <c r="B1" s="56"/>
      <c r="C1" s="56"/>
      <c r="D1" s="56"/>
      <c r="E1" s="56"/>
      <c r="F1" s="56"/>
      <c r="G1" s="56"/>
      <c r="H1" s="56"/>
      <c r="I1" s="56"/>
      <c r="J1" s="57"/>
    </row>
    <row r="2" spans="1:17" ht="15.75" customHeight="1" thickTop="1" thickBot="1" x14ac:dyDescent="0.3">
      <c r="P2" s="30"/>
    </row>
    <row r="3" spans="1:17" ht="15.75" thickTop="1" x14ac:dyDescent="0.25">
      <c r="A3" s="52" t="s">
        <v>25</v>
      </c>
      <c r="B3" s="52" t="s">
        <v>3</v>
      </c>
      <c r="C3" s="8"/>
      <c r="D3" s="52" t="s">
        <v>23</v>
      </c>
      <c r="E3" s="8"/>
      <c r="F3" s="9" t="s">
        <v>6</v>
      </c>
      <c r="G3" s="8"/>
      <c r="H3" s="9" t="s">
        <v>11</v>
      </c>
      <c r="I3" s="52" t="s">
        <v>24</v>
      </c>
      <c r="J3" s="8"/>
      <c r="N3" s="1"/>
      <c r="P3" s="2"/>
      <c r="Q3" s="32"/>
    </row>
    <row r="4" spans="1:17" x14ac:dyDescent="0.25">
      <c r="A4" s="53"/>
      <c r="B4" s="53"/>
      <c r="C4" s="10" t="s">
        <v>21</v>
      </c>
      <c r="D4" s="53"/>
      <c r="E4" s="10" t="s">
        <v>18</v>
      </c>
      <c r="F4" s="10" t="s">
        <v>7</v>
      </c>
      <c r="G4" s="11"/>
      <c r="H4" s="10" t="s">
        <v>12</v>
      </c>
      <c r="I4" s="53"/>
      <c r="J4" s="10" t="s">
        <v>16</v>
      </c>
      <c r="N4" s="1"/>
      <c r="P4" s="33"/>
    </row>
    <row r="5" spans="1:17" x14ac:dyDescent="0.25">
      <c r="A5" s="53"/>
      <c r="B5" s="53"/>
      <c r="C5" s="10" t="s">
        <v>22</v>
      </c>
      <c r="D5" s="53"/>
      <c r="E5" s="10" t="s">
        <v>19</v>
      </c>
      <c r="F5" s="10" t="s">
        <v>8</v>
      </c>
      <c r="G5" s="10" t="s">
        <v>5</v>
      </c>
      <c r="H5" s="10" t="s">
        <v>13</v>
      </c>
      <c r="I5" s="53"/>
      <c r="J5" s="10" t="s">
        <v>17</v>
      </c>
      <c r="N5" s="1"/>
      <c r="P5" s="30"/>
    </row>
    <row r="6" spans="1:17" x14ac:dyDescent="0.25">
      <c r="A6" s="53"/>
      <c r="B6" s="53"/>
      <c r="C6" s="10" t="s">
        <v>20</v>
      </c>
      <c r="D6" s="53"/>
      <c r="E6" s="10" t="s">
        <v>20</v>
      </c>
      <c r="F6" s="10" t="s">
        <v>9</v>
      </c>
      <c r="G6" s="11"/>
      <c r="H6" s="10" t="s">
        <v>14</v>
      </c>
      <c r="I6" s="53"/>
      <c r="J6" s="10" t="s">
        <v>26</v>
      </c>
      <c r="N6" s="20"/>
      <c r="O6" s="29"/>
      <c r="P6" s="31"/>
    </row>
    <row r="7" spans="1:17" ht="15.75" thickBot="1" x14ac:dyDescent="0.3">
      <c r="A7" s="54"/>
      <c r="B7" s="54"/>
      <c r="C7" s="12"/>
      <c r="D7" s="54"/>
      <c r="E7" s="12"/>
      <c r="F7" s="13" t="s">
        <v>10</v>
      </c>
      <c r="G7" s="12"/>
      <c r="H7" s="13" t="s">
        <v>15</v>
      </c>
      <c r="I7" s="54"/>
      <c r="J7" s="12"/>
      <c r="M7" s="29"/>
      <c r="N7" s="28"/>
      <c r="O7" s="32"/>
    </row>
    <row r="8" spans="1:17" ht="15.75" customHeight="1" thickTop="1" x14ac:dyDescent="0.25">
      <c r="A8" s="37">
        <v>1</v>
      </c>
      <c r="B8" s="7" t="s">
        <v>2</v>
      </c>
      <c r="C8" s="6" t="s">
        <v>1</v>
      </c>
      <c r="D8" s="6">
        <v>1</v>
      </c>
      <c r="E8" s="22">
        <v>15000.15</v>
      </c>
      <c r="F8" s="22">
        <f t="shared" ref="F8:F12" si="0">E8*D8</f>
        <v>15000.15</v>
      </c>
      <c r="G8" s="40">
        <f>VLOOKUP(I8,'СПИСОК ЧЕКОВЫХ КОМПАНИЙ'!A:C,3,0)</f>
        <v>45643</v>
      </c>
      <c r="H8" s="43" t="s">
        <v>0</v>
      </c>
      <c r="I8" s="46" t="s">
        <v>58</v>
      </c>
      <c r="J8" s="49"/>
      <c r="N8" s="1"/>
    </row>
    <row r="9" spans="1:17" ht="15" customHeight="1" x14ac:dyDescent="0.25">
      <c r="A9" s="38"/>
      <c r="B9" s="3"/>
      <c r="C9" s="14"/>
      <c r="D9" s="14"/>
      <c r="E9" s="23"/>
      <c r="F9" s="24">
        <f t="shared" si="0"/>
        <v>0</v>
      </c>
      <c r="G9" s="41"/>
      <c r="H9" s="44"/>
      <c r="I9" s="47"/>
      <c r="J9" s="50"/>
      <c r="N9" s="1"/>
    </row>
    <row r="10" spans="1:17" ht="15" customHeight="1" x14ac:dyDescent="0.25">
      <c r="A10" s="38"/>
      <c r="B10" s="3"/>
      <c r="C10" s="14"/>
      <c r="D10" s="14"/>
      <c r="E10" s="23"/>
      <c r="F10" s="24">
        <f t="shared" si="0"/>
        <v>0</v>
      </c>
      <c r="G10" s="41"/>
      <c r="H10" s="44"/>
      <c r="I10" s="47"/>
      <c r="J10" s="50"/>
      <c r="N10" s="1"/>
    </row>
    <row r="11" spans="1:17" ht="15" customHeight="1" x14ac:dyDescent="0.25">
      <c r="A11" s="38"/>
      <c r="B11" s="3"/>
      <c r="C11" s="14"/>
      <c r="D11" s="14"/>
      <c r="E11" s="23"/>
      <c r="F11" s="24">
        <f t="shared" si="0"/>
        <v>0</v>
      </c>
      <c r="G11" s="41"/>
      <c r="H11" s="44"/>
      <c r="I11" s="47"/>
      <c r="J11" s="50"/>
      <c r="K11" s="1"/>
      <c r="N11" s="1"/>
    </row>
    <row r="12" spans="1:17" ht="15" customHeight="1" x14ac:dyDescent="0.25">
      <c r="A12" s="39"/>
      <c r="B12" s="4"/>
      <c r="C12" s="5"/>
      <c r="D12" s="5"/>
      <c r="E12" s="25"/>
      <c r="F12" s="26">
        <f t="shared" si="0"/>
        <v>0</v>
      </c>
      <c r="G12" s="42"/>
      <c r="H12" s="45"/>
      <c r="I12" s="48"/>
      <c r="J12" s="51"/>
      <c r="N12" s="1"/>
    </row>
    <row r="13" spans="1:17" ht="18.75" customHeight="1" x14ac:dyDescent="0.25">
      <c r="A13" s="34" t="s">
        <v>30</v>
      </c>
      <c r="B13" s="35"/>
      <c r="C13" s="35"/>
      <c r="D13" s="35"/>
      <c r="E13" s="35"/>
      <c r="F13" s="15">
        <f>SUM(F8:F12)</f>
        <v>15000.15</v>
      </c>
      <c r="G13" s="35"/>
      <c r="H13" s="35"/>
      <c r="I13" s="35"/>
      <c r="J13" s="36"/>
      <c r="N13" s="1"/>
    </row>
    <row r="14" spans="1:17" ht="15.75" thickBot="1" x14ac:dyDescent="0.3">
      <c r="N14" s="1"/>
    </row>
    <row r="15" spans="1:17" ht="15.75" customHeight="1" thickTop="1" x14ac:dyDescent="0.25">
      <c r="A15" s="52" t="s">
        <v>25</v>
      </c>
      <c r="B15" s="52" t="s">
        <v>3</v>
      </c>
      <c r="C15" s="8"/>
      <c r="D15" s="52" t="s">
        <v>23</v>
      </c>
      <c r="E15" s="8"/>
      <c r="F15" s="9" t="s">
        <v>6</v>
      </c>
      <c r="G15" s="8"/>
      <c r="H15" s="9" t="s">
        <v>11</v>
      </c>
      <c r="I15" s="52" t="s">
        <v>24</v>
      </c>
      <c r="J15" s="8"/>
    </row>
    <row r="16" spans="1:17" x14ac:dyDescent="0.25">
      <c r="A16" s="53"/>
      <c r="B16" s="53"/>
      <c r="C16" s="10" t="s">
        <v>21</v>
      </c>
      <c r="D16" s="53"/>
      <c r="E16" s="10" t="s">
        <v>18</v>
      </c>
      <c r="F16" s="10" t="s">
        <v>7</v>
      </c>
      <c r="G16" s="11"/>
      <c r="H16" s="10" t="s">
        <v>12</v>
      </c>
      <c r="I16" s="53"/>
      <c r="J16" s="10" t="s">
        <v>16</v>
      </c>
    </row>
    <row r="17" spans="1:10" x14ac:dyDescent="0.25">
      <c r="A17" s="53"/>
      <c r="B17" s="53"/>
      <c r="C17" s="10" t="s">
        <v>22</v>
      </c>
      <c r="D17" s="53"/>
      <c r="E17" s="10" t="s">
        <v>19</v>
      </c>
      <c r="F17" s="10" t="s">
        <v>8</v>
      </c>
      <c r="G17" s="10" t="s">
        <v>5</v>
      </c>
      <c r="H17" s="10" t="s">
        <v>13</v>
      </c>
      <c r="I17" s="53"/>
      <c r="J17" s="10" t="s">
        <v>17</v>
      </c>
    </row>
    <row r="18" spans="1:10" x14ac:dyDescent="0.25">
      <c r="A18" s="53"/>
      <c r="B18" s="53"/>
      <c r="C18" s="10" t="s">
        <v>20</v>
      </c>
      <c r="D18" s="53"/>
      <c r="E18" s="10" t="s">
        <v>20</v>
      </c>
      <c r="F18" s="10" t="s">
        <v>9</v>
      </c>
      <c r="G18" s="11"/>
      <c r="H18" s="10" t="s">
        <v>14</v>
      </c>
      <c r="I18" s="53"/>
      <c r="J18" s="10" t="s">
        <v>26</v>
      </c>
    </row>
    <row r="19" spans="1:10" ht="15.75" thickBot="1" x14ac:dyDescent="0.3">
      <c r="A19" s="54"/>
      <c r="B19" s="54"/>
      <c r="C19" s="12"/>
      <c r="D19" s="54"/>
      <c r="E19" s="12"/>
      <c r="F19" s="13" t="s">
        <v>10</v>
      </c>
      <c r="G19" s="12"/>
      <c r="H19" s="13" t="s">
        <v>15</v>
      </c>
      <c r="I19" s="54"/>
      <c r="J19" s="12"/>
    </row>
    <row r="20" spans="1:10" ht="15.75" customHeight="1" thickTop="1" x14ac:dyDescent="0.25">
      <c r="A20" s="37">
        <v>2</v>
      </c>
      <c r="B20" s="7" t="s">
        <v>2</v>
      </c>
      <c r="C20" s="6" t="s">
        <v>1</v>
      </c>
      <c r="D20" s="6">
        <v>1</v>
      </c>
      <c r="E20" s="22">
        <v>15000.15</v>
      </c>
      <c r="F20" s="22">
        <f t="shared" ref="F20:F24" si="1">E20*D20</f>
        <v>15000.15</v>
      </c>
      <c r="G20" s="40">
        <f>VLOOKUP(I20,'СПИСОК ЧЕКОВЫХ КОМПАНИЙ'!A:C,3,0)</f>
        <v>45607</v>
      </c>
      <c r="H20" s="43" t="s">
        <v>0</v>
      </c>
      <c r="I20" s="46" t="s">
        <v>57</v>
      </c>
      <c r="J20" s="49"/>
    </row>
    <row r="21" spans="1:10" ht="15" customHeight="1" x14ac:dyDescent="0.25">
      <c r="A21" s="38"/>
      <c r="B21" s="3"/>
      <c r="C21" s="14"/>
      <c r="D21" s="14"/>
      <c r="E21" s="23"/>
      <c r="F21" s="24">
        <f t="shared" si="1"/>
        <v>0</v>
      </c>
      <c r="G21" s="41"/>
      <c r="H21" s="44"/>
      <c r="I21" s="47"/>
      <c r="J21" s="50"/>
    </row>
    <row r="22" spans="1:10" ht="15" customHeight="1" x14ac:dyDescent="0.25">
      <c r="A22" s="38"/>
      <c r="B22" s="3"/>
      <c r="C22" s="14"/>
      <c r="D22" s="14"/>
      <c r="E22" s="23"/>
      <c r="F22" s="24">
        <f t="shared" si="1"/>
        <v>0</v>
      </c>
      <c r="G22" s="41"/>
      <c r="H22" s="44"/>
      <c r="I22" s="47"/>
      <c r="J22" s="50"/>
    </row>
    <row r="23" spans="1:10" ht="15" customHeight="1" x14ac:dyDescent="0.25">
      <c r="A23" s="38"/>
      <c r="B23" s="3"/>
      <c r="C23" s="14"/>
      <c r="D23" s="14"/>
      <c r="E23" s="23"/>
      <c r="F23" s="24">
        <f t="shared" si="1"/>
        <v>0</v>
      </c>
      <c r="G23" s="41"/>
      <c r="H23" s="44"/>
      <c r="I23" s="47"/>
      <c r="J23" s="50"/>
    </row>
    <row r="24" spans="1:10" ht="15" customHeight="1" x14ac:dyDescent="0.25">
      <c r="A24" s="39"/>
      <c r="B24" s="4"/>
      <c r="C24" s="5"/>
      <c r="D24" s="5"/>
      <c r="E24" s="25"/>
      <c r="F24" s="26">
        <f t="shared" si="1"/>
        <v>0</v>
      </c>
      <c r="G24" s="42"/>
      <c r="H24" s="45"/>
      <c r="I24" s="48"/>
      <c r="J24" s="51"/>
    </row>
    <row r="25" spans="1:10" ht="18.75" customHeight="1" x14ac:dyDescent="0.25">
      <c r="A25" s="34" t="s">
        <v>30</v>
      </c>
      <c r="B25" s="35"/>
      <c r="C25" s="35"/>
      <c r="D25" s="35"/>
      <c r="E25" s="35"/>
      <c r="F25" s="15">
        <f>SUM(F20:F24)</f>
        <v>15000.15</v>
      </c>
      <c r="G25" s="35"/>
      <c r="H25" s="35"/>
      <c r="I25" s="35"/>
      <c r="J25" s="36"/>
    </row>
    <row r="26" spans="1:10" ht="15.75" thickBot="1" x14ac:dyDescent="0.3"/>
    <row r="27" spans="1:10" ht="15.75" thickTop="1" x14ac:dyDescent="0.25">
      <c r="A27" s="52" t="s">
        <v>25</v>
      </c>
      <c r="B27" s="52" t="s">
        <v>3</v>
      </c>
      <c r="C27" s="8"/>
      <c r="D27" s="52" t="s">
        <v>23</v>
      </c>
      <c r="E27" s="8"/>
      <c r="F27" s="9" t="s">
        <v>6</v>
      </c>
      <c r="G27" s="8"/>
      <c r="H27" s="9" t="s">
        <v>11</v>
      </c>
      <c r="I27" s="52" t="s">
        <v>24</v>
      </c>
      <c r="J27" s="8"/>
    </row>
    <row r="28" spans="1:10" x14ac:dyDescent="0.25">
      <c r="A28" s="53"/>
      <c r="B28" s="53"/>
      <c r="C28" s="10" t="s">
        <v>21</v>
      </c>
      <c r="D28" s="53"/>
      <c r="E28" s="10" t="s">
        <v>18</v>
      </c>
      <c r="F28" s="10" t="s">
        <v>7</v>
      </c>
      <c r="G28" s="11"/>
      <c r="H28" s="10" t="s">
        <v>12</v>
      </c>
      <c r="I28" s="53"/>
      <c r="J28" s="10" t="s">
        <v>16</v>
      </c>
    </row>
    <row r="29" spans="1:10" x14ac:dyDescent="0.25">
      <c r="A29" s="53"/>
      <c r="B29" s="53"/>
      <c r="C29" s="10" t="s">
        <v>22</v>
      </c>
      <c r="D29" s="53"/>
      <c r="E29" s="10" t="s">
        <v>19</v>
      </c>
      <c r="F29" s="10" t="s">
        <v>8</v>
      </c>
      <c r="G29" s="10" t="s">
        <v>5</v>
      </c>
      <c r="H29" s="10" t="s">
        <v>13</v>
      </c>
      <c r="I29" s="53"/>
      <c r="J29" s="10" t="s">
        <v>17</v>
      </c>
    </row>
    <row r="30" spans="1:10" x14ac:dyDescent="0.25">
      <c r="A30" s="53"/>
      <c r="B30" s="53"/>
      <c r="C30" s="10" t="s">
        <v>20</v>
      </c>
      <c r="D30" s="53"/>
      <c r="E30" s="10" t="s">
        <v>20</v>
      </c>
      <c r="F30" s="10" t="s">
        <v>9</v>
      </c>
      <c r="G30" s="11"/>
      <c r="H30" s="10" t="s">
        <v>14</v>
      </c>
      <c r="I30" s="53"/>
      <c r="J30" s="10" t="s">
        <v>26</v>
      </c>
    </row>
    <row r="31" spans="1:10" ht="15.75" thickBot="1" x14ac:dyDescent="0.3">
      <c r="A31" s="54"/>
      <c r="B31" s="54"/>
      <c r="C31" s="12"/>
      <c r="D31" s="54"/>
      <c r="E31" s="12"/>
      <c r="F31" s="13" t="s">
        <v>10</v>
      </c>
      <c r="G31" s="12"/>
      <c r="H31" s="13" t="s">
        <v>15</v>
      </c>
      <c r="I31" s="54"/>
      <c r="J31" s="12"/>
    </row>
    <row r="32" spans="1:10" ht="15.75" customHeight="1" thickTop="1" x14ac:dyDescent="0.25">
      <c r="A32" s="37">
        <v>3</v>
      </c>
      <c r="B32" s="7" t="s">
        <v>2</v>
      </c>
      <c r="C32" s="6" t="s">
        <v>1</v>
      </c>
      <c r="D32" s="6">
        <v>1</v>
      </c>
      <c r="E32" s="22">
        <v>15000.15</v>
      </c>
      <c r="F32" s="22">
        <f t="shared" ref="F32:F36" si="2">E32*D32</f>
        <v>15000.15</v>
      </c>
      <c r="G32" s="40">
        <f>VLOOKUP(I32,'СПИСОК ЧЕКОВЫХ КОМПАНИЙ'!A:C,3,0)</f>
        <v>45572</v>
      </c>
      <c r="H32" s="43" t="s">
        <v>0</v>
      </c>
      <c r="I32" s="46" t="s">
        <v>50</v>
      </c>
      <c r="J32" s="49"/>
    </row>
    <row r="33" spans="1:10" ht="15" customHeight="1" x14ac:dyDescent="0.25">
      <c r="A33" s="38"/>
      <c r="B33" s="3"/>
      <c r="C33" s="14"/>
      <c r="D33" s="14"/>
      <c r="E33" s="23"/>
      <c r="F33" s="24">
        <f t="shared" si="2"/>
        <v>0</v>
      </c>
      <c r="G33" s="41"/>
      <c r="H33" s="44"/>
      <c r="I33" s="47"/>
      <c r="J33" s="50"/>
    </row>
    <row r="34" spans="1:10" ht="15" customHeight="1" x14ac:dyDescent="0.25">
      <c r="A34" s="38"/>
      <c r="B34" s="3"/>
      <c r="C34" s="14"/>
      <c r="D34" s="14"/>
      <c r="E34" s="23"/>
      <c r="F34" s="24">
        <f t="shared" si="2"/>
        <v>0</v>
      </c>
      <c r="G34" s="41"/>
      <c r="H34" s="44"/>
      <c r="I34" s="47"/>
      <c r="J34" s="50"/>
    </row>
    <row r="35" spans="1:10" ht="15" customHeight="1" x14ac:dyDescent="0.25">
      <c r="A35" s="38"/>
      <c r="B35" s="3"/>
      <c r="C35" s="14"/>
      <c r="D35" s="14"/>
      <c r="E35" s="23"/>
      <c r="F35" s="24">
        <f t="shared" si="2"/>
        <v>0</v>
      </c>
      <c r="G35" s="41"/>
      <c r="H35" s="44"/>
      <c r="I35" s="47"/>
      <c r="J35" s="50"/>
    </row>
    <row r="36" spans="1:10" ht="15" customHeight="1" x14ac:dyDescent="0.25">
      <c r="A36" s="39"/>
      <c r="B36" s="4"/>
      <c r="C36" s="5"/>
      <c r="D36" s="5"/>
      <c r="E36" s="25"/>
      <c r="F36" s="26">
        <f t="shared" si="2"/>
        <v>0</v>
      </c>
      <c r="G36" s="42"/>
      <c r="H36" s="45"/>
      <c r="I36" s="48"/>
      <c r="J36" s="51"/>
    </row>
    <row r="37" spans="1:10" ht="18.75" customHeight="1" x14ac:dyDescent="0.25">
      <c r="A37" s="34" t="s">
        <v>30</v>
      </c>
      <c r="B37" s="35"/>
      <c r="C37" s="35"/>
      <c r="D37" s="35"/>
      <c r="E37" s="35"/>
      <c r="F37" s="15">
        <f>SUM(F32:F36)</f>
        <v>15000.15</v>
      </c>
      <c r="G37" s="35"/>
      <c r="H37" s="35"/>
      <c r="I37" s="35"/>
      <c r="J37" s="36"/>
    </row>
    <row r="38" spans="1:10" ht="15.75" thickBot="1" x14ac:dyDescent="0.3"/>
    <row r="39" spans="1:10" ht="15.75" thickTop="1" x14ac:dyDescent="0.25">
      <c r="A39" s="52" t="s">
        <v>25</v>
      </c>
      <c r="B39" s="52" t="s">
        <v>3</v>
      </c>
      <c r="C39" s="8"/>
      <c r="D39" s="52" t="s">
        <v>23</v>
      </c>
      <c r="E39" s="8"/>
      <c r="F39" s="9" t="s">
        <v>6</v>
      </c>
      <c r="G39" s="8"/>
      <c r="H39" s="9" t="s">
        <v>11</v>
      </c>
      <c r="I39" s="52" t="s">
        <v>24</v>
      </c>
      <c r="J39" s="8"/>
    </row>
    <row r="40" spans="1:10" x14ac:dyDescent="0.25">
      <c r="A40" s="53"/>
      <c r="B40" s="53"/>
      <c r="C40" s="10" t="s">
        <v>21</v>
      </c>
      <c r="D40" s="53"/>
      <c r="E40" s="10" t="s">
        <v>18</v>
      </c>
      <c r="F40" s="10" t="s">
        <v>7</v>
      </c>
      <c r="G40" s="11"/>
      <c r="H40" s="10" t="s">
        <v>12</v>
      </c>
      <c r="I40" s="53"/>
      <c r="J40" s="10" t="s">
        <v>16</v>
      </c>
    </row>
    <row r="41" spans="1:10" x14ac:dyDescent="0.25">
      <c r="A41" s="53"/>
      <c r="B41" s="53"/>
      <c r="C41" s="10" t="s">
        <v>22</v>
      </c>
      <c r="D41" s="53"/>
      <c r="E41" s="10" t="s">
        <v>19</v>
      </c>
      <c r="F41" s="10" t="s">
        <v>8</v>
      </c>
      <c r="G41" s="10" t="s">
        <v>5</v>
      </c>
      <c r="H41" s="10" t="s">
        <v>13</v>
      </c>
      <c r="I41" s="53"/>
      <c r="J41" s="10" t="s">
        <v>17</v>
      </c>
    </row>
    <row r="42" spans="1:10" x14ac:dyDescent="0.25">
      <c r="A42" s="53"/>
      <c r="B42" s="53"/>
      <c r="C42" s="10" t="s">
        <v>20</v>
      </c>
      <c r="D42" s="53"/>
      <c r="E42" s="10" t="s">
        <v>20</v>
      </c>
      <c r="F42" s="10" t="s">
        <v>9</v>
      </c>
      <c r="G42" s="11"/>
      <c r="H42" s="10" t="s">
        <v>14</v>
      </c>
      <c r="I42" s="53"/>
      <c r="J42" s="10" t="s">
        <v>26</v>
      </c>
    </row>
    <row r="43" spans="1:10" ht="15.75" thickBot="1" x14ac:dyDescent="0.3">
      <c r="A43" s="54"/>
      <c r="B43" s="54"/>
      <c r="C43" s="12"/>
      <c r="D43" s="54"/>
      <c r="E43" s="12"/>
      <c r="F43" s="13" t="s">
        <v>10</v>
      </c>
      <c r="G43" s="12"/>
      <c r="H43" s="13" t="s">
        <v>15</v>
      </c>
      <c r="I43" s="54"/>
      <c r="J43" s="12"/>
    </row>
    <row r="44" spans="1:10" ht="15.75" customHeight="1" thickTop="1" x14ac:dyDescent="0.25">
      <c r="A44" s="37">
        <v>4</v>
      </c>
      <c r="B44" s="7" t="s">
        <v>2</v>
      </c>
      <c r="C44" s="6" t="s">
        <v>1</v>
      </c>
      <c r="D44" s="6">
        <v>1</v>
      </c>
      <c r="E44" s="22">
        <v>15000.15</v>
      </c>
      <c r="F44" s="22">
        <f t="shared" ref="F44:F48" si="3">E44*D44</f>
        <v>15000.15</v>
      </c>
      <c r="G44" s="40">
        <f>VLOOKUP(I44,'СПИСОК ЧЕКОВЫХ КОМПАНИЙ'!A:C,3,0)</f>
        <v>45534</v>
      </c>
      <c r="H44" s="43" t="s">
        <v>0</v>
      </c>
      <c r="I44" s="46" t="s">
        <v>56</v>
      </c>
      <c r="J44" s="49"/>
    </row>
    <row r="45" spans="1:10" ht="15" customHeight="1" x14ac:dyDescent="0.25">
      <c r="A45" s="38"/>
      <c r="B45" s="3"/>
      <c r="C45" s="14"/>
      <c r="D45" s="14"/>
      <c r="E45" s="23"/>
      <c r="F45" s="24">
        <f t="shared" si="3"/>
        <v>0</v>
      </c>
      <c r="G45" s="41"/>
      <c r="H45" s="44"/>
      <c r="I45" s="47"/>
      <c r="J45" s="50"/>
    </row>
    <row r="46" spans="1:10" ht="15" customHeight="1" x14ac:dyDescent="0.25">
      <c r="A46" s="38"/>
      <c r="B46" s="3"/>
      <c r="C46" s="14"/>
      <c r="D46" s="14"/>
      <c r="E46" s="23"/>
      <c r="F46" s="24">
        <f t="shared" si="3"/>
        <v>0</v>
      </c>
      <c r="G46" s="41"/>
      <c r="H46" s="44"/>
      <c r="I46" s="47"/>
      <c r="J46" s="50"/>
    </row>
    <row r="47" spans="1:10" ht="15" customHeight="1" x14ac:dyDescent="0.25">
      <c r="A47" s="38"/>
      <c r="B47" s="3"/>
      <c r="C47" s="14"/>
      <c r="D47" s="14"/>
      <c r="E47" s="23"/>
      <c r="F47" s="24">
        <f t="shared" si="3"/>
        <v>0</v>
      </c>
      <c r="G47" s="41"/>
      <c r="H47" s="44"/>
      <c r="I47" s="47"/>
      <c r="J47" s="50"/>
    </row>
    <row r="48" spans="1:10" ht="15" customHeight="1" x14ac:dyDescent="0.25">
      <c r="A48" s="39"/>
      <c r="B48" s="4"/>
      <c r="C48" s="5"/>
      <c r="D48" s="5"/>
      <c r="E48" s="25"/>
      <c r="F48" s="26">
        <f t="shared" si="3"/>
        <v>0</v>
      </c>
      <c r="G48" s="42"/>
      <c r="H48" s="45"/>
      <c r="I48" s="48"/>
      <c r="J48" s="51"/>
    </row>
    <row r="49" spans="1:10" ht="18.75" customHeight="1" x14ac:dyDescent="0.25">
      <c r="A49" s="34" t="s">
        <v>30</v>
      </c>
      <c r="B49" s="35"/>
      <c r="C49" s="35"/>
      <c r="D49" s="35"/>
      <c r="E49" s="35"/>
      <c r="F49" s="15">
        <f>SUM(F44:F48)</f>
        <v>15000.15</v>
      </c>
      <c r="G49" s="35"/>
      <c r="H49" s="35"/>
      <c r="I49" s="35"/>
      <c r="J49" s="36"/>
    </row>
    <row r="50" spans="1:10" ht="15.75" thickBot="1" x14ac:dyDescent="0.3"/>
    <row r="51" spans="1:10" ht="15.75" thickTop="1" x14ac:dyDescent="0.25">
      <c r="A51" s="52" t="s">
        <v>25</v>
      </c>
      <c r="B51" s="52" t="s">
        <v>3</v>
      </c>
      <c r="C51" s="8"/>
      <c r="D51" s="52" t="s">
        <v>23</v>
      </c>
      <c r="E51" s="8"/>
      <c r="F51" s="9" t="s">
        <v>6</v>
      </c>
      <c r="G51" s="8"/>
      <c r="H51" s="9" t="s">
        <v>11</v>
      </c>
      <c r="I51" s="52" t="s">
        <v>24</v>
      </c>
      <c r="J51" s="8"/>
    </row>
    <row r="52" spans="1:10" x14ac:dyDescent="0.25">
      <c r="A52" s="53"/>
      <c r="B52" s="53"/>
      <c r="C52" s="10" t="s">
        <v>21</v>
      </c>
      <c r="D52" s="53"/>
      <c r="E52" s="10" t="s">
        <v>18</v>
      </c>
      <c r="F52" s="10" t="s">
        <v>7</v>
      </c>
      <c r="G52" s="11"/>
      <c r="H52" s="10" t="s">
        <v>12</v>
      </c>
      <c r="I52" s="53"/>
      <c r="J52" s="10" t="s">
        <v>16</v>
      </c>
    </row>
    <row r="53" spans="1:10" x14ac:dyDescent="0.25">
      <c r="A53" s="53"/>
      <c r="B53" s="53"/>
      <c r="C53" s="10" t="s">
        <v>22</v>
      </c>
      <c r="D53" s="53"/>
      <c r="E53" s="10" t="s">
        <v>19</v>
      </c>
      <c r="F53" s="10" t="s">
        <v>8</v>
      </c>
      <c r="G53" s="10" t="s">
        <v>5</v>
      </c>
      <c r="H53" s="10" t="s">
        <v>13</v>
      </c>
      <c r="I53" s="53"/>
      <c r="J53" s="10" t="s">
        <v>17</v>
      </c>
    </row>
    <row r="54" spans="1:10" x14ac:dyDescent="0.25">
      <c r="A54" s="53"/>
      <c r="B54" s="53"/>
      <c r="C54" s="10" t="s">
        <v>20</v>
      </c>
      <c r="D54" s="53"/>
      <c r="E54" s="10" t="s">
        <v>20</v>
      </c>
      <c r="F54" s="10" t="s">
        <v>9</v>
      </c>
      <c r="G54" s="11"/>
      <c r="H54" s="10" t="s">
        <v>14</v>
      </c>
      <c r="I54" s="53"/>
      <c r="J54" s="10" t="s">
        <v>26</v>
      </c>
    </row>
    <row r="55" spans="1:10" ht="15.75" thickBot="1" x14ac:dyDescent="0.3">
      <c r="A55" s="54"/>
      <c r="B55" s="54"/>
      <c r="C55" s="12"/>
      <c r="D55" s="54"/>
      <c r="E55" s="12"/>
      <c r="F55" s="13" t="s">
        <v>10</v>
      </c>
      <c r="G55" s="12"/>
      <c r="H55" s="13" t="s">
        <v>15</v>
      </c>
      <c r="I55" s="54"/>
      <c r="J55" s="12"/>
    </row>
    <row r="56" spans="1:10" ht="15.75" customHeight="1" thickTop="1" x14ac:dyDescent="0.25">
      <c r="A56" s="37">
        <v>5</v>
      </c>
      <c r="B56" s="7" t="s">
        <v>2</v>
      </c>
      <c r="C56" s="6" t="s">
        <v>1</v>
      </c>
      <c r="D56" s="6">
        <v>1</v>
      </c>
      <c r="E56" s="22">
        <v>15000.15</v>
      </c>
      <c r="F56" s="22">
        <f t="shared" ref="F56:F60" si="4">E56*D56</f>
        <v>15000.15</v>
      </c>
      <c r="G56" s="40">
        <f>VLOOKUP(I56,'СПИСОК ЧЕКОВЫХ КОМПАНИЙ'!A:C,3,0)</f>
        <v>45483</v>
      </c>
      <c r="H56" s="43" t="s">
        <v>4</v>
      </c>
      <c r="I56" s="46" t="s">
        <v>28</v>
      </c>
      <c r="J56" s="49"/>
    </row>
    <row r="57" spans="1:10" ht="15" customHeight="1" x14ac:dyDescent="0.25">
      <c r="A57" s="38"/>
      <c r="B57" s="3"/>
      <c r="C57" s="14"/>
      <c r="D57" s="14"/>
      <c r="E57" s="23"/>
      <c r="F57" s="24">
        <f t="shared" si="4"/>
        <v>0</v>
      </c>
      <c r="G57" s="41"/>
      <c r="H57" s="44"/>
      <c r="I57" s="47"/>
      <c r="J57" s="50"/>
    </row>
    <row r="58" spans="1:10" ht="15" customHeight="1" x14ac:dyDescent="0.25">
      <c r="A58" s="38"/>
      <c r="B58" s="3"/>
      <c r="C58" s="14"/>
      <c r="D58" s="14"/>
      <c r="E58" s="23"/>
      <c r="F58" s="24">
        <f t="shared" si="4"/>
        <v>0</v>
      </c>
      <c r="G58" s="41"/>
      <c r="H58" s="44"/>
      <c r="I58" s="47"/>
      <c r="J58" s="50"/>
    </row>
    <row r="59" spans="1:10" ht="15" customHeight="1" x14ac:dyDescent="0.25">
      <c r="A59" s="38"/>
      <c r="B59" s="3"/>
      <c r="C59" s="14"/>
      <c r="D59" s="14"/>
      <c r="E59" s="23"/>
      <c r="F59" s="24">
        <f t="shared" si="4"/>
        <v>0</v>
      </c>
      <c r="G59" s="41"/>
      <c r="H59" s="44"/>
      <c r="I59" s="47"/>
      <c r="J59" s="50"/>
    </row>
    <row r="60" spans="1:10" ht="15" customHeight="1" x14ac:dyDescent="0.25">
      <c r="A60" s="39"/>
      <c r="B60" s="4"/>
      <c r="C60" s="5"/>
      <c r="D60" s="5"/>
      <c r="E60" s="25"/>
      <c r="F60" s="26">
        <f t="shared" si="4"/>
        <v>0</v>
      </c>
      <c r="G60" s="42"/>
      <c r="H60" s="45"/>
      <c r="I60" s="48"/>
      <c r="J60" s="51"/>
    </row>
    <row r="61" spans="1:10" ht="18.75" customHeight="1" x14ac:dyDescent="0.25">
      <c r="A61" s="34" t="s">
        <v>30</v>
      </c>
      <c r="B61" s="35"/>
      <c r="C61" s="35"/>
      <c r="D61" s="35"/>
      <c r="E61" s="35"/>
      <c r="F61" s="15">
        <f>SUM(F56:F60)</f>
        <v>15000.15</v>
      </c>
      <c r="G61" s="35"/>
      <c r="H61" s="35"/>
      <c r="I61" s="35"/>
      <c r="J61" s="36"/>
    </row>
    <row r="62" spans="1:10" ht="15.75" thickBot="1" x14ac:dyDescent="0.3"/>
    <row r="63" spans="1:10" ht="15.75" thickTop="1" x14ac:dyDescent="0.25">
      <c r="A63" s="52" t="s">
        <v>25</v>
      </c>
      <c r="B63" s="52" t="s">
        <v>3</v>
      </c>
      <c r="C63" s="8"/>
      <c r="D63" s="52" t="s">
        <v>23</v>
      </c>
      <c r="E63" s="8"/>
      <c r="F63" s="9" t="s">
        <v>6</v>
      </c>
      <c r="G63" s="8"/>
      <c r="H63" s="9" t="s">
        <v>11</v>
      </c>
      <c r="I63" s="52" t="s">
        <v>24</v>
      </c>
      <c r="J63" s="8"/>
    </row>
    <row r="64" spans="1:10" x14ac:dyDescent="0.25">
      <c r="A64" s="53"/>
      <c r="B64" s="53"/>
      <c r="C64" s="10" t="s">
        <v>21</v>
      </c>
      <c r="D64" s="53"/>
      <c r="E64" s="10" t="s">
        <v>18</v>
      </c>
      <c r="F64" s="10" t="s">
        <v>7</v>
      </c>
      <c r="G64" s="11"/>
      <c r="H64" s="10" t="s">
        <v>12</v>
      </c>
      <c r="I64" s="53"/>
      <c r="J64" s="10" t="s">
        <v>16</v>
      </c>
    </row>
    <row r="65" spans="1:10" x14ac:dyDescent="0.25">
      <c r="A65" s="53"/>
      <c r="B65" s="53"/>
      <c r="C65" s="10" t="s">
        <v>22</v>
      </c>
      <c r="D65" s="53"/>
      <c r="E65" s="10" t="s">
        <v>19</v>
      </c>
      <c r="F65" s="10" t="s">
        <v>8</v>
      </c>
      <c r="G65" s="10" t="s">
        <v>5</v>
      </c>
      <c r="H65" s="10" t="s">
        <v>13</v>
      </c>
      <c r="I65" s="53"/>
      <c r="J65" s="10" t="s">
        <v>17</v>
      </c>
    </row>
    <row r="66" spans="1:10" x14ac:dyDescent="0.25">
      <c r="A66" s="53"/>
      <c r="B66" s="53"/>
      <c r="C66" s="10" t="s">
        <v>20</v>
      </c>
      <c r="D66" s="53"/>
      <c r="E66" s="10" t="s">
        <v>20</v>
      </c>
      <c r="F66" s="10" t="s">
        <v>9</v>
      </c>
      <c r="G66" s="11"/>
      <c r="H66" s="10" t="s">
        <v>14</v>
      </c>
      <c r="I66" s="53"/>
      <c r="J66" s="10" t="s">
        <v>26</v>
      </c>
    </row>
    <row r="67" spans="1:10" ht="15.75" thickBot="1" x14ac:dyDescent="0.3">
      <c r="A67" s="54"/>
      <c r="B67" s="54"/>
      <c r="C67" s="12"/>
      <c r="D67" s="54"/>
      <c r="E67" s="12"/>
      <c r="F67" s="13" t="s">
        <v>10</v>
      </c>
      <c r="G67" s="12"/>
      <c r="H67" s="13" t="s">
        <v>15</v>
      </c>
      <c r="I67" s="54"/>
      <c r="J67" s="12"/>
    </row>
    <row r="68" spans="1:10" ht="15.75" customHeight="1" thickTop="1" x14ac:dyDescent="0.25">
      <c r="A68" s="37">
        <v>6</v>
      </c>
      <c r="B68" s="7" t="s">
        <v>2</v>
      </c>
      <c r="C68" s="6" t="s">
        <v>1</v>
      </c>
      <c r="D68" s="6">
        <v>1</v>
      </c>
      <c r="E68" s="22">
        <v>15000.15</v>
      </c>
      <c r="F68" s="22">
        <f t="shared" ref="F68:F72" si="5">E68*D68</f>
        <v>15000.15</v>
      </c>
      <c r="G68" s="40">
        <f>VLOOKUP(I68,'СПИСОК ЧЕКОВЫХ КОМПАНИЙ'!A:C,3,0)</f>
        <v>45401</v>
      </c>
      <c r="H68" s="43" t="s">
        <v>0</v>
      </c>
      <c r="I68" s="46" t="s">
        <v>55</v>
      </c>
      <c r="J68" s="49"/>
    </row>
    <row r="69" spans="1:10" ht="15" customHeight="1" x14ac:dyDescent="0.25">
      <c r="A69" s="38"/>
      <c r="B69" s="3"/>
      <c r="C69" s="14"/>
      <c r="D69" s="14"/>
      <c r="E69" s="23"/>
      <c r="F69" s="24">
        <f t="shared" si="5"/>
        <v>0</v>
      </c>
      <c r="G69" s="41"/>
      <c r="H69" s="44"/>
      <c r="I69" s="47"/>
      <c r="J69" s="50"/>
    </row>
    <row r="70" spans="1:10" ht="15" customHeight="1" x14ac:dyDescent="0.25">
      <c r="A70" s="38"/>
      <c r="B70" s="3"/>
      <c r="C70" s="14"/>
      <c r="D70" s="14"/>
      <c r="E70" s="23"/>
      <c r="F70" s="24">
        <f t="shared" si="5"/>
        <v>0</v>
      </c>
      <c r="G70" s="41"/>
      <c r="H70" s="44"/>
      <c r="I70" s="47"/>
      <c r="J70" s="50"/>
    </row>
    <row r="71" spans="1:10" ht="15" customHeight="1" x14ac:dyDescent="0.25">
      <c r="A71" s="38"/>
      <c r="B71" s="3"/>
      <c r="C71" s="14"/>
      <c r="D71" s="14"/>
      <c r="E71" s="23"/>
      <c r="F71" s="24">
        <f t="shared" si="5"/>
        <v>0</v>
      </c>
      <c r="G71" s="41"/>
      <c r="H71" s="44"/>
      <c r="I71" s="47"/>
      <c r="J71" s="50"/>
    </row>
    <row r="72" spans="1:10" ht="15" customHeight="1" x14ac:dyDescent="0.25">
      <c r="A72" s="39"/>
      <c r="B72" s="4"/>
      <c r="C72" s="5"/>
      <c r="D72" s="5"/>
      <c r="E72" s="25"/>
      <c r="F72" s="26">
        <f t="shared" si="5"/>
        <v>0</v>
      </c>
      <c r="G72" s="42"/>
      <c r="H72" s="45"/>
      <c r="I72" s="48"/>
      <c r="J72" s="51"/>
    </row>
    <row r="73" spans="1:10" ht="18.75" customHeight="1" x14ac:dyDescent="0.25">
      <c r="A73" s="34" t="s">
        <v>30</v>
      </c>
      <c r="B73" s="35"/>
      <c r="C73" s="35"/>
      <c r="D73" s="35"/>
      <c r="E73" s="35"/>
      <c r="F73" s="15">
        <f>SUM(F68:F72)</f>
        <v>15000.15</v>
      </c>
      <c r="G73" s="35"/>
      <c r="H73" s="35"/>
      <c r="I73" s="35"/>
      <c r="J73" s="36"/>
    </row>
    <row r="74" spans="1:10" ht="15.75" thickBot="1" x14ac:dyDescent="0.3"/>
    <row r="75" spans="1:10" ht="15.75" thickTop="1" x14ac:dyDescent="0.25">
      <c r="A75" s="52" t="s">
        <v>25</v>
      </c>
      <c r="B75" s="52" t="s">
        <v>3</v>
      </c>
      <c r="C75" s="8"/>
      <c r="D75" s="52" t="s">
        <v>23</v>
      </c>
      <c r="E75" s="8"/>
      <c r="F75" s="9" t="s">
        <v>6</v>
      </c>
      <c r="G75" s="8"/>
      <c r="H75" s="9" t="s">
        <v>11</v>
      </c>
      <c r="I75" s="52" t="s">
        <v>24</v>
      </c>
      <c r="J75" s="8"/>
    </row>
    <row r="76" spans="1:10" x14ac:dyDescent="0.25">
      <c r="A76" s="53"/>
      <c r="B76" s="53"/>
      <c r="C76" s="10" t="s">
        <v>21</v>
      </c>
      <c r="D76" s="53"/>
      <c r="E76" s="10" t="s">
        <v>18</v>
      </c>
      <c r="F76" s="10" t="s">
        <v>7</v>
      </c>
      <c r="G76" s="11"/>
      <c r="H76" s="10" t="s">
        <v>12</v>
      </c>
      <c r="I76" s="53"/>
      <c r="J76" s="10" t="s">
        <v>16</v>
      </c>
    </row>
    <row r="77" spans="1:10" x14ac:dyDescent="0.25">
      <c r="A77" s="53"/>
      <c r="B77" s="53"/>
      <c r="C77" s="10" t="s">
        <v>22</v>
      </c>
      <c r="D77" s="53"/>
      <c r="E77" s="10" t="s">
        <v>19</v>
      </c>
      <c r="F77" s="10" t="s">
        <v>8</v>
      </c>
      <c r="G77" s="10" t="s">
        <v>5</v>
      </c>
      <c r="H77" s="10" t="s">
        <v>13</v>
      </c>
      <c r="I77" s="53"/>
      <c r="J77" s="10" t="s">
        <v>17</v>
      </c>
    </row>
    <row r="78" spans="1:10" x14ac:dyDescent="0.25">
      <c r="A78" s="53"/>
      <c r="B78" s="53"/>
      <c r="C78" s="10" t="s">
        <v>20</v>
      </c>
      <c r="D78" s="53"/>
      <c r="E78" s="10" t="s">
        <v>20</v>
      </c>
      <c r="F78" s="10" t="s">
        <v>9</v>
      </c>
      <c r="G78" s="11"/>
      <c r="H78" s="10" t="s">
        <v>14</v>
      </c>
      <c r="I78" s="53"/>
      <c r="J78" s="10" t="s">
        <v>26</v>
      </c>
    </row>
    <row r="79" spans="1:10" ht="15.75" thickBot="1" x14ac:dyDescent="0.3">
      <c r="A79" s="54"/>
      <c r="B79" s="54"/>
      <c r="C79" s="12"/>
      <c r="D79" s="54"/>
      <c r="E79" s="12"/>
      <c r="F79" s="13" t="s">
        <v>10</v>
      </c>
      <c r="G79" s="12"/>
      <c r="H79" s="13" t="s">
        <v>15</v>
      </c>
      <c r="I79" s="54"/>
      <c r="J79" s="12"/>
    </row>
    <row r="80" spans="1:10" ht="15.75" customHeight="1" thickTop="1" x14ac:dyDescent="0.25">
      <c r="A80" s="37">
        <v>7</v>
      </c>
      <c r="B80" s="7" t="s">
        <v>2</v>
      </c>
      <c r="C80" s="6" t="s">
        <v>1</v>
      </c>
      <c r="D80" s="6">
        <v>1</v>
      </c>
      <c r="E80" s="22">
        <v>15000.15</v>
      </c>
      <c r="F80" s="22">
        <f t="shared" ref="F80:F84" si="6">E80*D80</f>
        <v>15000.15</v>
      </c>
      <c r="G80" s="40">
        <f>VLOOKUP(I80,'СПИСОК ЧЕКОВЫХ КОМПАНИЙ'!A:C,3,0)</f>
        <v>45405</v>
      </c>
      <c r="H80" s="43" t="s">
        <v>4</v>
      </c>
      <c r="I80" s="46" t="s">
        <v>27</v>
      </c>
      <c r="J80" s="49"/>
    </row>
    <row r="81" spans="1:10" ht="15" customHeight="1" x14ac:dyDescent="0.25">
      <c r="A81" s="38"/>
      <c r="B81" s="3"/>
      <c r="C81" s="14"/>
      <c r="D81" s="14"/>
      <c r="E81" s="23"/>
      <c r="F81" s="24">
        <f t="shared" si="6"/>
        <v>0</v>
      </c>
      <c r="G81" s="41"/>
      <c r="H81" s="44"/>
      <c r="I81" s="47"/>
      <c r="J81" s="50"/>
    </row>
    <row r="82" spans="1:10" ht="15" customHeight="1" x14ac:dyDescent="0.25">
      <c r="A82" s="38"/>
      <c r="B82" s="3"/>
      <c r="C82" s="14"/>
      <c r="D82" s="14"/>
      <c r="E82" s="23"/>
      <c r="F82" s="24">
        <f t="shared" si="6"/>
        <v>0</v>
      </c>
      <c r="G82" s="41"/>
      <c r="H82" s="44"/>
      <c r="I82" s="47"/>
      <c r="J82" s="50"/>
    </row>
    <row r="83" spans="1:10" ht="15" customHeight="1" x14ac:dyDescent="0.25">
      <c r="A83" s="38"/>
      <c r="B83" s="3"/>
      <c r="C83" s="14"/>
      <c r="D83" s="14"/>
      <c r="E83" s="23"/>
      <c r="F83" s="24">
        <f t="shared" si="6"/>
        <v>0</v>
      </c>
      <c r="G83" s="41"/>
      <c r="H83" s="44"/>
      <c r="I83" s="47"/>
      <c r="J83" s="50"/>
    </row>
    <row r="84" spans="1:10" ht="15" customHeight="1" x14ac:dyDescent="0.25">
      <c r="A84" s="39"/>
      <c r="B84" s="4"/>
      <c r="C84" s="5"/>
      <c r="D84" s="5"/>
      <c r="E84" s="25"/>
      <c r="F84" s="26">
        <f t="shared" si="6"/>
        <v>0</v>
      </c>
      <c r="G84" s="42"/>
      <c r="H84" s="45"/>
      <c r="I84" s="48"/>
      <c r="J84" s="51"/>
    </row>
    <row r="85" spans="1:10" ht="18.75" customHeight="1" x14ac:dyDescent="0.25">
      <c r="A85" s="34" t="s">
        <v>30</v>
      </c>
      <c r="B85" s="35"/>
      <c r="C85" s="35"/>
      <c r="D85" s="35"/>
      <c r="E85" s="35"/>
      <c r="F85" s="15">
        <f>SUM(F80:F84)</f>
        <v>15000.15</v>
      </c>
      <c r="G85" s="35"/>
      <c r="H85" s="35"/>
      <c r="I85" s="35"/>
      <c r="J85" s="36"/>
    </row>
    <row r="86" spans="1:10" ht="15.75" thickBot="1" x14ac:dyDescent="0.3"/>
    <row r="87" spans="1:10" ht="15.75" thickTop="1" x14ac:dyDescent="0.25">
      <c r="A87" s="52" t="s">
        <v>25</v>
      </c>
      <c r="B87" s="52" t="s">
        <v>3</v>
      </c>
      <c r="C87" s="8"/>
      <c r="D87" s="52" t="s">
        <v>23</v>
      </c>
      <c r="E87" s="8"/>
      <c r="F87" s="9" t="s">
        <v>6</v>
      </c>
      <c r="G87" s="8"/>
      <c r="H87" s="9" t="s">
        <v>11</v>
      </c>
      <c r="I87" s="52" t="s">
        <v>24</v>
      </c>
      <c r="J87" s="8"/>
    </row>
    <row r="88" spans="1:10" x14ac:dyDescent="0.25">
      <c r="A88" s="53"/>
      <c r="B88" s="53"/>
      <c r="C88" s="10" t="s">
        <v>21</v>
      </c>
      <c r="D88" s="53"/>
      <c r="E88" s="10" t="s">
        <v>18</v>
      </c>
      <c r="F88" s="10" t="s">
        <v>7</v>
      </c>
      <c r="G88" s="11"/>
      <c r="H88" s="10" t="s">
        <v>12</v>
      </c>
      <c r="I88" s="53"/>
      <c r="J88" s="10" t="s">
        <v>16</v>
      </c>
    </row>
    <row r="89" spans="1:10" x14ac:dyDescent="0.25">
      <c r="A89" s="53"/>
      <c r="B89" s="53"/>
      <c r="C89" s="10" t="s">
        <v>22</v>
      </c>
      <c r="D89" s="53"/>
      <c r="E89" s="10" t="s">
        <v>19</v>
      </c>
      <c r="F89" s="10" t="s">
        <v>8</v>
      </c>
      <c r="G89" s="10" t="s">
        <v>5</v>
      </c>
      <c r="H89" s="10" t="s">
        <v>13</v>
      </c>
      <c r="I89" s="53"/>
      <c r="J89" s="10" t="s">
        <v>17</v>
      </c>
    </row>
    <row r="90" spans="1:10" x14ac:dyDescent="0.25">
      <c r="A90" s="53"/>
      <c r="B90" s="53"/>
      <c r="C90" s="10" t="s">
        <v>20</v>
      </c>
      <c r="D90" s="53"/>
      <c r="E90" s="10" t="s">
        <v>20</v>
      </c>
      <c r="F90" s="10" t="s">
        <v>9</v>
      </c>
      <c r="G90" s="11"/>
      <c r="H90" s="10" t="s">
        <v>14</v>
      </c>
      <c r="I90" s="53"/>
      <c r="J90" s="10" t="s">
        <v>26</v>
      </c>
    </row>
    <row r="91" spans="1:10" ht="15.75" thickBot="1" x14ac:dyDescent="0.3">
      <c r="A91" s="54"/>
      <c r="B91" s="54"/>
      <c r="C91" s="12"/>
      <c r="D91" s="54"/>
      <c r="E91" s="12"/>
      <c r="F91" s="13" t="s">
        <v>10</v>
      </c>
      <c r="G91" s="12"/>
      <c r="H91" s="13" t="s">
        <v>15</v>
      </c>
      <c r="I91" s="54"/>
      <c r="J91" s="12"/>
    </row>
    <row r="92" spans="1:10" ht="15.75" customHeight="1" thickTop="1" x14ac:dyDescent="0.25">
      <c r="A92" s="37">
        <v>8</v>
      </c>
      <c r="B92" s="7" t="s">
        <v>2</v>
      </c>
      <c r="C92" s="6" t="s">
        <v>1</v>
      </c>
      <c r="D92" s="6">
        <v>1</v>
      </c>
      <c r="E92" s="22">
        <v>15000.15</v>
      </c>
      <c r="F92" s="22">
        <f t="shared" ref="F92:F96" si="7">E92*D92</f>
        <v>15000.15</v>
      </c>
      <c r="G92" s="40">
        <f>VLOOKUP(I92,'СПИСОК ЧЕКОВЫХ КОМПАНИЙ'!A:C,3,0)</f>
        <v>45355</v>
      </c>
      <c r="H92" s="43" t="s">
        <v>0</v>
      </c>
      <c r="I92" s="46" t="s">
        <v>54</v>
      </c>
      <c r="J92" s="49"/>
    </row>
    <row r="93" spans="1:10" ht="15" customHeight="1" x14ac:dyDescent="0.25">
      <c r="A93" s="38"/>
      <c r="B93" s="3"/>
      <c r="C93" s="14"/>
      <c r="D93" s="14"/>
      <c r="E93" s="23"/>
      <c r="F93" s="24">
        <f t="shared" si="7"/>
        <v>0</v>
      </c>
      <c r="G93" s="41"/>
      <c r="H93" s="44"/>
      <c r="I93" s="47"/>
      <c r="J93" s="50"/>
    </row>
    <row r="94" spans="1:10" ht="15" customHeight="1" x14ac:dyDescent="0.25">
      <c r="A94" s="38"/>
      <c r="B94" s="3"/>
      <c r="C94" s="14"/>
      <c r="D94" s="14"/>
      <c r="E94" s="23"/>
      <c r="F94" s="24">
        <f t="shared" si="7"/>
        <v>0</v>
      </c>
      <c r="G94" s="41"/>
      <c r="H94" s="44"/>
      <c r="I94" s="47"/>
      <c r="J94" s="50"/>
    </row>
    <row r="95" spans="1:10" ht="15" customHeight="1" x14ac:dyDescent="0.25">
      <c r="A95" s="38"/>
      <c r="B95" s="3"/>
      <c r="C95" s="14"/>
      <c r="D95" s="14"/>
      <c r="E95" s="23"/>
      <c r="F95" s="24">
        <f t="shared" si="7"/>
        <v>0</v>
      </c>
      <c r="G95" s="41"/>
      <c r="H95" s="44"/>
      <c r="I95" s="47"/>
      <c r="J95" s="50"/>
    </row>
    <row r="96" spans="1:10" ht="15" customHeight="1" x14ac:dyDescent="0.25">
      <c r="A96" s="39"/>
      <c r="B96" s="4"/>
      <c r="C96" s="5"/>
      <c r="D96" s="5"/>
      <c r="E96" s="25"/>
      <c r="F96" s="26">
        <f t="shared" si="7"/>
        <v>0</v>
      </c>
      <c r="G96" s="42"/>
      <c r="H96" s="45"/>
      <c r="I96" s="48"/>
      <c r="J96" s="51"/>
    </row>
    <row r="97" spans="1:10" ht="18.75" customHeight="1" x14ac:dyDescent="0.25">
      <c r="A97" s="34" t="s">
        <v>30</v>
      </c>
      <c r="B97" s="35"/>
      <c r="C97" s="35"/>
      <c r="D97" s="35"/>
      <c r="E97" s="35"/>
      <c r="F97" s="15">
        <f>SUM(F92:F96)</f>
        <v>15000.15</v>
      </c>
      <c r="G97" s="35"/>
      <c r="H97" s="35"/>
      <c r="I97" s="35"/>
      <c r="J97" s="36"/>
    </row>
    <row r="98" spans="1:10" ht="15.75" thickBot="1" x14ac:dyDescent="0.3"/>
    <row r="99" spans="1:10" ht="15.75" thickTop="1" x14ac:dyDescent="0.25">
      <c r="A99" s="52" t="s">
        <v>25</v>
      </c>
      <c r="B99" s="52" t="s">
        <v>3</v>
      </c>
      <c r="C99" s="8"/>
      <c r="D99" s="52" t="s">
        <v>23</v>
      </c>
      <c r="E99" s="8"/>
      <c r="F99" s="9" t="s">
        <v>6</v>
      </c>
      <c r="G99" s="8"/>
      <c r="H99" s="9" t="s">
        <v>11</v>
      </c>
      <c r="I99" s="52" t="s">
        <v>24</v>
      </c>
      <c r="J99" s="8"/>
    </row>
    <row r="100" spans="1:10" x14ac:dyDescent="0.25">
      <c r="A100" s="53"/>
      <c r="B100" s="53"/>
      <c r="C100" s="10" t="s">
        <v>21</v>
      </c>
      <c r="D100" s="53"/>
      <c r="E100" s="10" t="s">
        <v>18</v>
      </c>
      <c r="F100" s="10" t="s">
        <v>7</v>
      </c>
      <c r="G100" s="11"/>
      <c r="H100" s="10" t="s">
        <v>12</v>
      </c>
      <c r="I100" s="53"/>
      <c r="J100" s="10" t="s">
        <v>16</v>
      </c>
    </row>
    <row r="101" spans="1:10" x14ac:dyDescent="0.25">
      <c r="A101" s="53"/>
      <c r="B101" s="53"/>
      <c r="C101" s="10" t="s">
        <v>22</v>
      </c>
      <c r="D101" s="53"/>
      <c r="E101" s="10" t="s">
        <v>19</v>
      </c>
      <c r="F101" s="10" t="s">
        <v>8</v>
      </c>
      <c r="G101" s="10" t="s">
        <v>5</v>
      </c>
      <c r="H101" s="10" t="s">
        <v>13</v>
      </c>
      <c r="I101" s="53"/>
      <c r="J101" s="10" t="s">
        <v>17</v>
      </c>
    </row>
    <row r="102" spans="1:10" x14ac:dyDescent="0.25">
      <c r="A102" s="53"/>
      <c r="B102" s="53"/>
      <c r="C102" s="10" t="s">
        <v>20</v>
      </c>
      <c r="D102" s="53"/>
      <c r="E102" s="10" t="s">
        <v>20</v>
      </c>
      <c r="F102" s="10" t="s">
        <v>9</v>
      </c>
      <c r="G102" s="11"/>
      <c r="H102" s="10" t="s">
        <v>14</v>
      </c>
      <c r="I102" s="53"/>
      <c r="J102" s="10" t="s">
        <v>26</v>
      </c>
    </row>
    <row r="103" spans="1:10" ht="15.75" thickBot="1" x14ac:dyDescent="0.3">
      <c r="A103" s="54"/>
      <c r="B103" s="54"/>
      <c r="C103" s="12"/>
      <c r="D103" s="54"/>
      <c r="E103" s="12"/>
      <c r="F103" s="13" t="s">
        <v>10</v>
      </c>
      <c r="G103" s="12"/>
      <c r="H103" s="13" t="s">
        <v>15</v>
      </c>
      <c r="I103" s="54"/>
      <c r="J103" s="12"/>
    </row>
    <row r="104" spans="1:10" ht="15.75" customHeight="1" thickTop="1" x14ac:dyDescent="0.25">
      <c r="A104" s="37">
        <v>9</v>
      </c>
      <c r="B104" s="7" t="s">
        <v>2</v>
      </c>
      <c r="C104" s="6" t="s">
        <v>1</v>
      </c>
      <c r="D104" s="6">
        <v>1</v>
      </c>
      <c r="E104" s="22">
        <v>15000.15</v>
      </c>
      <c r="F104" s="22">
        <f t="shared" ref="F104:F108" si="8">E104*D104</f>
        <v>15000.15</v>
      </c>
      <c r="G104" s="40">
        <f>VLOOKUP(I104,'СПИСОК ЧЕКОВЫХ КОМПАНИЙ'!A:C,3,0)</f>
        <v>45342</v>
      </c>
      <c r="H104" s="43" t="s">
        <v>0</v>
      </c>
      <c r="I104" s="46" t="s">
        <v>53</v>
      </c>
      <c r="J104" s="49"/>
    </row>
    <row r="105" spans="1:10" ht="15" customHeight="1" x14ac:dyDescent="0.25">
      <c r="A105" s="38"/>
      <c r="B105" s="3"/>
      <c r="C105" s="14"/>
      <c r="D105" s="14"/>
      <c r="E105" s="23"/>
      <c r="F105" s="24">
        <f t="shared" si="8"/>
        <v>0</v>
      </c>
      <c r="G105" s="41"/>
      <c r="H105" s="44"/>
      <c r="I105" s="47"/>
      <c r="J105" s="50"/>
    </row>
    <row r="106" spans="1:10" ht="15" customHeight="1" x14ac:dyDescent="0.25">
      <c r="A106" s="38"/>
      <c r="B106" s="3"/>
      <c r="C106" s="14"/>
      <c r="D106" s="14"/>
      <c r="E106" s="23"/>
      <c r="F106" s="24">
        <f t="shared" si="8"/>
        <v>0</v>
      </c>
      <c r="G106" s="41"/>
      <c r="H106" s="44"/>
      <c r="I106" s="47"/>
      <c r="J106" s="50"/>
    </row>
    <row r="107" spans="1:10" ht="15" customHeight="1" x14ac:dyDescent="0.25">
      <c r="A107" s="38"/>
      <c r="B107" s="3"/>
      <c r="C107" s="14"/>
      <c r="D107" s="14"/>
      <c r="E107" s="23"/>
      <c r="F107" s="24">
        <f t="shared" si="8"/>
        <v>0</v>
      </c>
      <c r="G107" s="41"/>
      <c r="H107" s="44"/>
      <c r="I107" s="47"/>
      <c r="J107" s="50"/>
    </row>
    <row r="108" spans="1:10" ht="15" customHeight="1" x14ac:dyDescent="0.25">
      <c r="A108" s="39"/>
      <c r="B108" s="4"/>
      <c r="C108" s="5"/>
      <c r="D108" s="5"/>
      <c r="E108" s="25"/>
      <c r="F108" s="26">
        <f t="shared" si="8"/>
        <v>0</v>
      </c>
      <c r="G108" s="42"/>
      <c r="H108" s="45"/>
      <c r="I108" s="48"/>
      <c r="J108" s="51"/>
    </row>
    <row r="109" spans="1:10" ht="18.75" customHeight="1" x14ac:dyDescent="0.25">
      <c r="A109" s="34" t="s">
        <v>30</v>
      </c>
      <c r="B109" s="35"/>
      <c r="C109" s="35"/>
      <c r="D109" s="35"/>
      <c r="E109" s="35"/>
      <c r="F109" s="15">
        <f>SUM(F104:F108)</f>
        <v>15000.15</v>
      </c>
      <c r="G109" s="35"/>
      <c r="H109" s="35"/>
      <c r="I109" s="35"/>
      <c r="J109" s="36"/>
    </row>
    <row r="110" spans="1:10" ht="15.75" thickBot="1" x14ac:dyDescent="0.3"/>
    <row r="111" spans="1:10" ht="15.75" thickTop="1" x14ac:dyDescent="0.25">
      <c r="A111" s="52" t="s">
        <v>25</v>
      </c>
      <c r="B111" s="52" t="s">
        <v>3</v>
      </c>
      <c r="C111" s="8"/>
      <c r="D111" s="52" t="s">
        <v>23</v>
      </c>
      <c r="E111" s="8"/>
      <c r="F111" s="9" t="s">
        <v>6</v>
      </c>
      <c r="G111" s="8"/>
      <c r="H111" s="9" t="s">
        <v>11</v>
      </c>
      <c r="I111" s="52" t="s">
        <v>24</v>
      </c>
      <c r="J111" s="8"/>
    </row>
    <row r="112" spans="1:10" x14ac:dyDescent="0.25">
      <c r="A112" s="53"/>
      <c r="B112" s="53"/>
      <c r="C112" s="10" t="s">
        <v>21</v>
      </c>
      <c r="D112" s="53"/>
      <c r="E112" s="10" t="s">
        <v>18</v>
      </c>
      <c r="F112" s="10" t="s">
        <v>7</v>
      </c>
      <c r="G112" s="11"/>
      <c r="H112" s="10" t="s">
        <v>12</v>
      </c>
      <c r="I112" s="53"/>
      <c r="J112" s="10" t="s">
        <v>16</v>
      </c>
    </row>
    <row r="113" spans="1:10" x14ac:dyDescent="0.25">
      <c r="A113" s="53"/>
      <c r="B113" s="53"/>
      <c r="C113" s="10" t="s">
        <v>22</v>
      </c>
      <c r="D113" s="53"/>
      <c r="E113" s="10" t="s">
        <v>19</v>
      </c>
      <c r="F113" s="10" t="s">
        <v>8</v>
      </c>
      <c r="G113" s="10" t="s">
        <v>5</v>
      </c>
      <c r="H113" s="10" t="s">
        <v>13</v>
      </c>
      <c r="I113" s="53"/>
      <c r="J113" s="10" t="s">
        <v>17</v>
      </c>
    </row>
    <row r="114" spans="1:10" x14ac:dyDescent="0.25">
      <c r="A114" s="53"/>
      <c r="B114" s="53"/>
      <c r="C114" s="10" t="s">
        <v>20</v>
      </c>
      <c r="D114" s="53"/>
      <c r="E114" s="10" t="s">
        <v>20</v>
      </c>
      <c r="F114" s="10" t="s">
        <v>9</v>
      </c>
      <c r="G114" s="11"/>
      <c r="H114" s="10" t="s">
        <v>14</v>
      </c>
      <c r="I114" s="53"/>
      <c r="J114" s="10" t="s">
        <v>26</v>
      </c>
    </row>
    <row r="115" spans="1:10" ht="15.75" thickBot="1" x14ac:dyDescent="0.3">
      <c r="A115" s="54"/>
      <c r="B115" s="54"/>
      <c r="C115" s="12"/>
      <c r="D115" s="54"/>
      <c r="E115" s="12"/>
      <c r="F115" s="13" t="s">
        <v>10</v>
      </c>
      <c r="G115" s="12"/>
      <c r="H115" s="13" t="s">
        <v>15</v>
      </c>
      <c r="I115" s="54"/>
      <c r="J115" s="12"/>
    </row>
    <row r="116" spans="1:10" ht="15.75" customHeight="1" thickTop="1" x14ac:dyDescent="0.25">
      <c r="A116" s="37">
        <v>10</v>
      </c>
      <c r="B116" s="7" t="s">
        <v>2</v>
      </c>
      <c r="C116" s="6" t="s">
        <v>1</v>
      </c>
      <c r="D116" s="6">
        <v>1</v>
      </c>
      <c r="E116" s="22">
        <v>15000.15</v>
      </c>
      <c r="F116" s="22">
        <f t="shared" ref="F116:F120" si="9">E116*D116</f>
        <v>15000.15</v>
      </c>
      <c r="G116" s="40">
        <f>VLOOKUP(I116,'СПИСОК ЧЕКОВЫХ КОМПАНИЙ'!A:C,3,0)</f>
        <v>45323</v>
      </c>
      <c r="H116" s="43" t="s">
        <v>0</v>
      </c>
      <c r="I116" s="46" t="s">
        <v>52</v>
      </c>
      <c r="J116" s="49"/>
    </row>
    <row r="117" spans="1:10" ht="15" customHeight="1" x14ac:dyDescent="0.25">
      <c r="A117" s="38"/>
      <c r="B117" s="3"/>
      <c r="C117" s="14"/>
      <c r="D117" s="14"/>
      <c r="E117" s="23"/>
      <c r="F117" s="24">
        <f t="shared" si="9"/>
        <v>0</v>
      </c>
      <c r="G117" s="41"/>
      <c r="H117" s="44"/>
      <c r="I117" s="47"/>
      <c r="J117" s="50"/>
    </row>
    <row r="118" spans="1:10" ht="15" customHeight="1" x14ac:dyDescent="0.25">
      <c r="A118" s="38"/>
      <c r="B118" s="3"/>
      <c r="C118" s="14"/>
      <c r="D118" s="14"/>
      <c r="E118" s="23"/>
      <c r="F118" s="24">
        <f t="shared" si="9"/>
        <v>0</v>
      </c>
      <c r="G118" s="41"/>
      <c r="H118" s="44"/>
      <c r="I118" s="47"/>
      <c r="J118" s="50"/>
    </row>
    <row r="119" spans="1:10" ht="15" customHeight="1" x14ac:dyDescent="0.25">
      <c r="A119" s="38"/>
      <c r="B119" s="3"/>
      <c r="C119" s="14"/>
      <c r="D119" s="14"/>
      <c r="E119" s="23"/>
      <c r="F119" s="24">
        <f t="shared" si="9"/>
        <v>0</v>
      </c>
      <c r="G119" s="41"/>
      <c r="H119" s="44"/>
      <c r="I119" s="47"/>
      <c r="J119" s="50"/>
    </row>
    <row r="120" spans="1:10" ht="15" customHeight="1" x14ac:dyDescent="0.25">
      <c r="A120" s="39"/>
      <c r="B120" s="4"/>
      <c r="C120" s="5"/>
      <c r="D120" s="5"/>
      <c r="E120" s="25"/>
      <c r="F120" s="26">
        <f t="shared" si="9"/>
        <v>0</v>
      </c>
      <c r="G120" s="42"/>
      <c r="H120" s="45"/>
      <c r="I120" s="48"/>
      <c r="J120" s="51"/>
    </row>
    <row r="121" spans="1:10" ht="18.75" customHeight="1" x14ac:dyDescent="0.25">
      <c r="A121" s="34" t="s">
        <v>30</v>
      </c>
      <c r="B121" s="35"/>
      <c r="C121" s="35"/>
      <c r="D121" s="35"/>
      <c r="E121" s="35"/>
      <c r="F121" s="15">
        <f>SUM(F116:F120)</f>
        <v>15000.15</v>
      </c>
      <c r="G121" s="35"/>
      <c r="H121" s="35"/>
      <c r="I121" s="35"/>
      <c r="J121" s="36"/>
    </row>
    <row r="122" spans="1:10" ht="15.75" thickBot="1" x14ac:dyDescent="0.3"/>
    <row r="123" spans="1:10" ht="15.75" thickTop="1" x14ac:dyDescent="0.25">
      <c r="A123" s="52" t="s">
        <v>25</v>
      </c>
      <c r="B123" s="52" t="s">
        <v>3</v>
      </c>
      <c r="C123" s="8"/>
      <c r="D123" s="52" t="s">
        <v>23</v>
      </c>
      <c r="E123" s="8"/>
      <c r="F123" s="9" t="s">
        <v>6</v>
      </c>
      <c r="G123" s="8"/>
      <c r="H123" s="9" t="s">
        <v>11</v>
      </c>
      <c r="I123" s="52" t="s">
        <v>24</v>
      </c>
      <c r="J123" s="8"/>
    </row>
    <row r="124" spans="1:10" x14ac:dyDescent="0.25">
      <c r="A124" s="53"/>
      <c r="B124" s="53"/>
      <c r="C124" s="10" t="s">
        <v>21</v>
      </c>
      <c r="D124" s="53"/>
      <c r="E124" s="10" t="s">
        <v>18</v>
      </c>
      <c r="F124" s="10" t="s">
        <v>7</v>
      </c>
      <c r="G124" s="11"/>
      <c r="H124" s="10" t="s">
        <v>12</v>
      </c>
      <c r="I124" s="53"/>
      <c r="J124" s="10" t="s">
        <v>16</v>
      </c>
    </row>
    <row r="125" spans="1:10" x14ac:dyDescent="0.25">
      <c r="A125" s="53"/>
      <c r="B125" s="53"/>
      <c r="C125" s="10" t="s">
        <v>22</v>
      </c>
      <c r="D125" s="53"/>
      <c r="E125" s="10" t="s">
        <v>19</v>
      </c>
      <c r="F125" s="10" t="s">
        <v>8</v>
      </c>
      <c r="G125" s="10" t="s">
        <v>5</v>
      </c>
      <c r="H125" s="10" t="s">
        <v>13</v>
      </c>
      <c r="I125" s="53"/>
      <c r="J125" s="10" t="s">
        <v>17</v>
      </c>
    </row>
    <row r="126" spans="1:10" x14ac:dyDescent="0.25">
      <c r="A126" s="53"/>
      <c r="B126" s="53"/>
      <c r="C126" s="10" t="s">
        <v>20</v>
      </c>
      <c r="D126" s="53"/>
      <c r="E126" s="10" t="s">
        <v>20</v>
      </c>
      <c r="F126" s="10" t="s">
        <v>9</v>
      </c>
      <c r="G126" s="11"/>
      <c r="H126" s="10" t="s">
        <v>14</v>
      </c>
      <c r="I126" s="53"/>
      <c r="J126" s="10" t="s">
        <v>26</v>
      </c>
    </row>
    <row r="127" spans="1:10" ht="15.75" thickBot="1" x14ac:dyDescent="0.3">
      <c r="A127" s="54"/>
      <c r="B127" s="54"/>
      <c r="C127" s="12"/>
      <c r="D127" s="54"/>
      <c r="E127" s="12"/>
      <c r="F127" s="13" t="s">
        <v>10</v>
      </c>
      <c r="G127" s="12"/>
      <c r="H127" s="13" t="s">
        <v>15</v>
      </c>
      <c r="I127" s="54"/>
      <c r="J127" s="12"/>
    </row>
    <row r="128" spans="1:10" ht="15.75" customHeight="1" thickTop="1" x14ac:dyDescent="0.25">
      <c r="A128" s="37">
        <v>11</v>
      </c>
      <c r="B128" s="7" t="s">
        <v>2</v>
      </c>
      <c r="C128" s="6" t="s">
        <v>1</v>
      </c>
      <c r="D128" s="6">
        <v>1</v>
      </c>
      <c r="E128" s="22">
        <v>15000.15</v>
      </c>
      <c r="F128" s="22">
        <f t="shared" ref="F128:F132" si="10">E128*D128</f>
        <v>15000.15</v>
      </c>
      <c r="G128" s="40">
        <f>VLOOKUP(I128,'СПИСОК ЧЕКОВЫХ КОМПАНИЙ'!A:C,3,0)</f>
        <v>45311</v>
      </c>
      <c r="H128" s="43" t="s">
        <v>0</v>
      </c>
      <c r="I128" s="46" t="s">
        <v>51</v>
      </c>
      <c r="J128" s="49"/>
    </row>
    <row r="129" spans="1:10" ht="15" customHeight="1" x14ac:dyDescent="0.25">
      <c r="A129" s="38"/>
      <c r="B129" s="3"/>
      <c r="C129" s="14"/>
      <c r="D129" s="14"/>
      <c r="E129" s="23"/>
      <c r="F129" s="24">
        <f t="shared" si="10"/>
        <v>0</v>
      </c>
      <c r="G129" s="41"/>
      <c r="H129" s="44"/>
      <c r="I129" s="47"/>
      <c r="J129" s="50"/>
    </row>
    <row r="130" spans="1:10" ht="15" customHeight="1" x14ac:dyDescent="0.25">
      <c r="A130" s="38"/>
      <c r="B130" s="3"/>
      <c r="C130" s="14"/>
      <c r="D130" s="14"/>
      <c r="E130" s="23"/>
      <c r="F130" s="24">
        <f t="shared" si="10"/>
        <v>0</v>
      </c>
      <c r="G130" s="41"/>
      <c r="H130" s="44"/>
      <c r="I130" s="47"/>
      <c r="J130" s="50"/>
    </row>
    <row r="131" spans="1:10" ht="15" customHeight="1" x14ac:dyDescent="0.25">
      <c r="A131" s="38"/>
      <c r="B131" s="3"/>
      <c r="C131" s="14"/>
      <c r="D131" s="14"/>
      <c r="E131" s="23"/>
      <c r="F131" s="24">
        <f t="shared" si="10"/>
        <v>0</v>
      </c>
      <c r="G131" s="41"/>
      <c r="H131" s="44"/>
      <c r="I131" s="47"/>
      <c r="J131" s="50"/>
    </row>
    <row r="132" spans="1:10" ht="15" customHeight="1" x14ac:dyDescent="0.25">
      <c r="A132" s="39"/>
      <c r="B132" s="4"/>
      <c r="C132" s="5"/>
      <c r="D132" s="5"/>
      <c r="E132" s="25"/>
      <c r="F132" s="26">
        <f t="shared" si="10"/>
        <v>0</v>
      </c>
      <c r="G132" s="42"/>
      <c r="H132" s="45"/>
      <c r="I132" s="48"/>
      <c r="J132" s="51"/>
    </row>
    <row r="133" spans="1:10" ht="18.75" customHeight="1" x14ac:dyDescent="0.25">
      <c r="A133" s="34" t="s">
        <v>30</v>
      </c>
      <c r="B133" s="35"/>
      <c r="C133" s="35"/>
      <c r="D133" s="35"/>
      <c r="E133" s="35"/>
      <c r="F133" s="15">
        <f>SUM(F128:F132)</f>
        <v>15000.15</v>
      </c>
      <c r="G133" s="35"/>
      <c r="H133" s="35"/>
      <c r="I133" s="35"/>
      <c r="J133" s="36"/>
    </row>
    <row r="134" spans="1:10" ht="15.75" thickBot="1" x14ac:dyDescent="0.3"/>
    <row r="135" spans="1:10" ht="15.75" thickTop="1" x14ac:dyDescent="0.25">
      <c r="A135" s="52" t="s">
        <v>25</v>
      </c>
      <c r="B135" s="52" t="s">
        <v>3</v>
      </c>
      <c r="C135" s="8"/>
      <c r="D135" s="52" t="s">
        <v>23</v>
      </c>
      <c r="E135" s="8"/>
      <c r="F135" s="9" t="s">
        <v>6</v>
      </c>
      <c r="G135" s="8"/>
      <c r="H135" s="9" t="s">
        <v>11</v>
      </c>
      <c r="I135" s="52" t="s">
        <v>24</v>
      </c>
      <c r="J135" s="8"/>
    </row>
    <row r="136" spans="1:10" x14ac:dyDescent="0.25">
      <c r="A136" s="53"/>
      <c r="B136" s="53"/>
      <c r="C136" s="10" t="s">
        <v>21</v>
      </c>
      <c r="D136" s="53"/>
      <c r="E136" s="10" t="s">
        <v>18</v>
      </c>
      <c r="F136" s="10" t="s">
        <v>7</v>
      </c>
      <c r="G136" s="11"/>
      <c r="H136" s="10" t="s">
        <v>12</v>
      </c>
      <c r="I136" s="53"/>
      <c r="J136" s="10" t="s">
        <v>16</v>
      </c>
    </row>
    <row r="137" spans="1:10" x14ac:dyDescent="0.25">
      <c r="A137" s="53"/>
      <c r="B137" s="53"/>
      <c r="C137" s="10" t="s">
        <v>22</v>
      </c>
      <c r="D137" s="53"/>
      <c r="E137" s="10" t="s">
        <v>19</v>
      </c>
      <c r="F137" s="10" t="s">
        <v>8</v>
      </c>
      <c r="G137" s="10" t="s">
        <v>5</v>
      </c>
      <c r="H137" s="10" t="s">
        <v>13</v>
      </c>
      <c r="I137" s="53"/>
      <c r="J137" s="10" t="s">
        <v>17</v>
      </c>
    </row>
    <row r="138" spans="1:10" x14ac:dyDescent="0.25">
      <c r="A138" s="53"/>
      <c r="B138" s="53"/>
      <c r="C138" s="10" t="s">
        <v>20</v>
      </c>
      <c r="D138" s="53"/>
      <c r="E138" s="10" t="s">
        <v>20</v>
      </c>
      <c r="F138" s="10" t="s">
        <v>9</v>
      </c>
      <c r="G138" s="11"/>
      <c r="H138" s="10" t="s">
        <v>14</v>
      </c>
      <c r="I138" s="53"/>
      <c r="J138" s="10" t="s">
        <v>26</v>
      </c>
    </row>
    <row r="139" spans="1:10" ht="15.75" thickBot="1" x14ac:dyDescent="0.3">
      <c r="A139" s="54"/>
      <c r="B139" s="54"/>
      <c r="C139" s="12"/>
      <c r="D139" s="54"/>
      <c r="E139" s="12"/>
      <c r="F139" s="13" t="s">
        <v>10</v>
      </c>
      <c r="G139" s="12"/>
      <c r="H139" s="13" t="s">
        <v>15</v>
      </c>
      <c r="I139" s="54"/>
      <c r="J139" s="12"/>
    </row>
    <row r="140" spans="1:10" ht="15.75" customHeight="1" thickTop="1" x14ac:dyDescent="0.25">
      <c r="A140" s="37">
        <v>12</v>
      </c>
      <c r="B140" s="7" t="s">
        <v>2</v>
      </c>
      <c r="C140" s="6" t="s">
        <v>1</v>
      </c>
      <c r="D140" s="6">
        <v>1</v>
      </c>
      <c r="E140" s="22">
        <v>15000.15</v>
      </c>
      <c r="F140" s="22">
        <f t="shared" ref="F140:F144" si="11">E140*D140</f>
        <v>15000.15</v>
      </c>
      <c r="G140" s="40">
        <f>VLOOKUP(I140,'СПИСОК ЧЕКОВЫХ КОМПАНИЙ'!A:C,3,0)</f>
        <v>45311</v>
      </c>
      <c r="H140" s="43" t="s">
        <v>0</v>
      </c>
      <c r="I140" s="46" t="s">
        <v>51</v>
      </c>
      <c r="J140" s="49"/>
    </row>
    <row r="141" spans="1:10" ht="15" customHeight="1" x14ac:dyDescent="0.25">
      <c r="A141" s="38"/>
      <c r="B141" s="3"/>
      <c r="C141" s="14"/>
      <c r="D141" s="14"/>
      <c r="E141" s="23"/>
      <c r="F141" s="24">
        <f t="shared" si="11"/>
        <v>0</v>
      </c>
      <c r="G141" s="41"/>
      <c r="H141" s="44"/>
      <c r="I141" s="47"/>
      <c r="J141" s="50"/>
    </row>
    <row r="142" spans="1:10" ht="15" customHeight="1" x14ac:dyDescent="0.25">
      <c r="A142" s="38"/>
      <c r="B142" s="3"/>
      <c r="C142" s="14"/>
      <c r="D142" s="14"/>
      <c r="E142" s="23"/>
      <c r="F142" s="24">
        <f t="shared" si="11"/>
        <v>0</v>
      </c>
      <c r="G142" s="41"/>
      <c r="H142" s="44"/>
      <c r="I142" s="47"/>
      <c r="J142" s="50"/>
    </row>
    <row r="143" spans="1:10" ht="15" customHeight="1" x14ac:dyDescent="0.25">
      <c r="A143" s="38"/>
      <c r="B143" s="3"/>
      <c r="C143" s="14"/>
      <c r="D143" s="14"/>
      <c r="E143" s="23"/>
      <c r="F143" s="24">
        <f t="shared" si="11"/>
        <v>0</v>
      </c>
      <c r="G143" s="41"/>
      <c r="H143" s="44"/>
      <c r="I143" s="47"/>
      <c r="J143" s="50"/>
    </row>
    <row r="144" spans="1:10" ht="15" customHeight="1" x14ac:dyDescent="0.25">
      <c r="A144" s="39"/>
      <c r="B144" s="4"/>
      <c r="C144" s="5"/>
      <c r="D144" s="5"/>
      <c r="E144" s="25"/>
      <c r="F144" s="26">
        <f t="shared" si="11"/>
        <v>0</v>
      </c>
      <c r="G144" s="42"/>
      <c r="H144" s="45"/>
      <c r="I144" s="48"/>
      <c r="J144" s="51"/>
    </row>
    <row r="145" spans="1:10" ht="18.75" customHeight="1" x14ac:dyDescent="0.25">
      <c r="A145" s="34" t="s">
        <v>30</v>
      </c>
      <c r="B145" s="35"/>
      <c r="C145" s="35"/>
      <c r="D145" s="35"/>
      <c r="E145" s="35"/>
      <c r="F145" s="15">
        <f>SUM(F140:F144)</f>
        <v>15000.15</v>
      </c>
      <c r="G145" s="35"/>
      <c r="H145" s="35"/>
      <c r="I145" s="35"/>
      <c r="J145" s="36"/>
    </row>
  </sheetData>
  <sheetProtection formatCells="0" formatColumns="0" insertColumns="0" insertRows="0" insertHyperlinks="0" deleteColumns="0" deleteRows="0" sort="0" autoFilter="0" pivotTables="0"/>
  <mergeCells count="133">
    <mergeCell ref="A145:E145"/>
    <mergeCell ref="G145:J145"/>
    <mergeCell ref="A1:J1"/>
    <mergeCell ref="A32:A36"/>
    <mergeCell ref="A135:A139"/>
    <mergeCell ref="B135:B139"/>
    <mergeCell ref="D135:D139"/>
    <mergeCell ref="I135:I139"/>
    <mergeCell ref="A140:A144"/>
    <mergeCell ref="G140:G144"/>
    <mergeCell ref="H140:H144"/>
    <mergeCell ref="I140:I144"/>
    <mergeCell ref="J140:J144"/>
    <mergeCell ref="H56:H60"/>
    <mergeCell ref="I56:I60"/>
    <mergeCell ref="J56:J60"/>
    <mergeCell ref="A61:E61"/>
    <mergeCell ref="G61:J61"/>
    <mergeCell ref="I63:I67"/>
    <mergeCell ref="G32:G36"/>
    <mergeCell ref="H32:H36"/>
    <mergeCell ref="I32:I36"/>
    <mergeCell ref="J32:J36"/>
    <mergeCell ref="G37:J37"/>
    <mergeCell ref="G13:J13"/>
    <mergeCell ref="D3:D7"/>
    <mergeCell ref="I3:I7"/>
    <mergeCell ref="B3:B7"/>
    <mergeCell ref="A3:A7"/>
    <mergeCell ref="A13:E13"/>
    <mergeCell ref="D27:D31"/>
    <mergeCell ref="I27:I31"/>
    <mergeCell ref="A37:E37"/>
    <mergeCell ref="A8:A12"/>
    <mergeCell ref="G8:G12"/>
    <mergeCell ref="H8:H12"/>
    <mergeCell ref="I8:I12"/>
    <mergeCell ref="J8:J12"/>
    <mergeCell ref="J20:J24"/>
    <mergeCell ref="A25:E25"/>
    <mergeCell ref="G25:J25"/>
    <mergeCell ref="A27:A31"/>
    <mergeCell ref="B27:B31"/>
    <mergeCell ref="A15:A19"/>
    <mergeCell ref="B15:B19"/>
    <mergeCell ref="D15:D19"/>
    <mergeCell ref="I15:I19"/>
    <mergeCell ref="A20:A24"/>
    <mergeCell ref="G20:G24"/>
    <mergeCell ref="H20:H24"/>
    <mergeCell ref="I20:I24"/>
    <mergeCell ref="A49:E49"/>
    <mergeCell ref="G49:J49"/>
    <mergeCell ref="A51:A55"/>
    <mergeCell ref="B51:B55"/>
    <mergeCell ref="D51:D55"/>
    <mergeCell ref="I51:I55"/>
    <mergeCell ref="A39:A43"/>
    <mergeCell ref="B39:B43"/>
    <mergeCell ref="D39:D43"/>
    <mergeCell ref="I39:I43"/>
    <mergeCell ref="A44:A48"/>
    <mergeCell ref="G44:G48"/>
    <mergeCell ref="H44:H48"/>
    <mergeCell ref="I44:I48"/>
    <mergeCell ref="J44:J48"/>
    <mergeCell ref="A63:A67"/>
    <mergeCell ref="B63:B67"/>
    <mergeCell ref="D63:D67"/>
    <mergeCell ref="A56:A60"/>
    <mergeCell ref="G56:G60"/>
    <mergeCell ref="A92:A96"/>
    <mergeCell ref="G92:G96"/>
    <mergeCell ref="H92:H96"/>
    <mergeCell ref="I92:I96"/>
    <mergeCell ref="A80:A84"/>
    <mergeCell ref="G80:G84"/>
    <mergeCell ref="H80:H84"/>
    <mergeCell ref="I80:I84"/>
    <mergeCell ref="G73:J73"/>
    <mergeCell ref="A68:A72"/>
    <mergeCell ref="G68:G72"/>
    <mergeCell ref="H68:H72"/>
    <mergeCell ref="I68:I72"/>
    <mergeCell ref="J68:J72"/>
    <mergeCell ref="A73:E73"/>
    <mergeCell ref="A75:A79"/>
    <mergeCell ref="B75:B79"/>
    <mergeCell ref="D75:D79"/>
    <mergeCell ref="I75:I79"/>
    <mergeCell ref="J92:J96"/>
    <mergeCell ref="J80:J84"/>
    <mergeCell ref="A85:E85"/>
    <mergeCell ref="G85:J85"/>
    <mergeCell ref="A87:A91"/>
    <mergeCell ref="B87:B91"/>
    <mergeCell ref="D87:D91"/>
    <mergeCell ref="I87:I91"/>
    <mergeCell ref="A104:A108"/>
    <mergeCell ref="G104:G108"/>
    <mergeCell ref="H104:H108"/>
    <mergeCell ref="I104:I108"/>
    <mergeCell ref="J104:J108"/>
    <mergeCell ref="A97:E97"/>
    <mergeCell ref="G97:J97"/>
    <mergeCell ref="A99:A103"/>
    <mergeCell ref="B99:B103"/>
    <mergeCell ref="D99:D103"/>
    <mergeCell ref="I99:I103"/>
    <mergeCell ref="A116:A120"/>
    <mergeCell ref="G116:G120"/>
    <mergeCell ref="H116:H120"/>
    <mergeCell ref="I116:I120"/>
    <mergeCell ref="J116:J120"/>
    <mergeCell ref="A109:E109"/>
    <mergeCell ref="G109:J109"/>
    <mergeCell ref="A111:A115"/>
    <mergeCell ref="B111:B115"/>
    <mergeCell ref="D111:D115"/>
    <mergeCell ref="I111:I115"/>
    <mergeCell ref="A133:E133"/>
    <mergeCell ref="G133:J133"/>
    <mergeCell ref="A128:A132"/>
    <mergeCell ref="G128:G132"/>
    <mergeCell ref="H128:H132"/>
    <mergeCell ref="I128:I132"/>
    <mergeCell ref="J128:J132"/>
    <mergeCell ref="A121:E121"/>
    <mergeCell ref="G121:J121"/>
    <mergeCell ref="A123:A127"/>
    <mergeCell ref="B123:B127"/>
    <mergeCell ref="D123:D127"/>
    <mergeCell ref="I123:I127"/>
  </mergeCells>
  <dataValidations count="2">
    <dataValidation allowBlank="1" showInputMessage="1" showErrorMessage="1" promptTitle="ДАТА УСТАНОВИТСЯ АВТОМАТИЧЕСКИ" prompt="_x000a_Наши компании выбивают чеки только теми прошедшими датами, которые указаны в соответствующем столбце второй вкладки (список чековых компаний)._x000a__x000a_Дата устанавливается автоматически при выборе соответствующей нашей компании._x000a_" sqref="G8:G12 G20:G24 G32:G36 G44:G48 G56:G60 G68:G72 G80:G84 G92:G96 G104:G108 G116:G120 G128:G132 G140:G144" xr:uid="{824F1DAC-7000-4A6F-B241-5B4FEF57CE2E}"/>
    <dataValidation allowBlank="1" showInputMessage="1" showErrorMessage="1" promptTitle="ВАЖНО!" prompt="_x000a_Укажите номера чеков в хронологическом порядке сверху вниз." sqref="A8:A12 A20:A24 A32:A36 A44:A48 A56:A60 A68:A72 A80:A84 A92:A96 A104:A108 A116:A120 A128:A132 A140:A144" xr:uid="{2F5CA001-C117-4F92-843A-0EC7C202F2A8}"/>
  </dataValidations>
  <hyperlinks>
    <hyperlink ref="A1:J1" r:id="rId1" display="Кликните по этой ячейке и скачайте файл &quot;порядок работы&quot; с инструкцией по заполнению данной заявки" xr:uid="{BB9EB1CC-0601-4E67-9854-96671976EE61}"/>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2">
        <x14:dataValidation type="list" errorStyle="information" showInputMessage="1" showErrorMessage="1" errorTitle="Некорректное значение" error="Выберете периодичность" promptTitle="ВЫБЕРИТЕ КНОПКОЙ СПРАВА:" prompt="_x000a_Да или Нет_x000a__x000a_При выборе нашей компании без НДС любой ответ в данной ячейке игнорируется системой." xr:uid="{F59516EC-A872-4CAB-AA5D-9BB892A4A69C}">
          <x14:formula1>
            <xm:f>'СПИСОК ЧЕКОВЫХ КОМПАНИЙ'!$A$60:$A$61</xm:f>
          </x14:formula1>
          <xm:sqref>H8:H12 H140:H144 H128:H132 H116:H120 H104:H108 H92:H96 H80:H84 H68:H72 H56:H60 H44:H48 H32:H36 H20:H24</xm:sqref>
        </x14:dataValidation>
        <x14:dataValidation type="list" errorStyle="information" showInputMessage="1" showErrorMessage="1" errorTitle="Некорректное значение" error="Выберете один вариант" promptTitle="ВЫБЕРИТЕ КНОПКОЙ СПРАВА:" prompt="_x000a_Нашу компанию с НДС или без НДС_x000a__x000a_Поиск по ОКВЭДам наших компаний вы можете осуществить во вкладке СПИСОК ЧЕКОВЫХ КОМПАНИЙ._x000a__x000a_" xr:uid="{DA48F4DC-5117-4808-B8FB-6B55D7433881}">
          <x14:formula1>
            <xm:f>'СПИСОК ЧЕКОВЫХ КОМПАНИЙ'!$A$2:$A$12</xm:f>
          </x14:formula1>
          <xm:sqref>I8:I12 I140:I144 I128:I132 I116:I120 I104:I108 I92:I96 I80:I84 I68:I72 I56:I60 I44:I48 I32:I36 I20:I24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EF323-ACF1-415A-A731-9BB015950B20}">
  <sheetPr codeName="Лист2"/>
  <dimension ref="A1:D61"/>
  <sheetViews>
    <sheetView workbookViewId="0">
      <selection activeCell="A2" sqref="A2"/>
    </sheetView>
  </sheetViews>
  <sheetFormatPr defaultRowHeight="15" x14ac:dyDescent="0.25"/>
  <cols>
    <col min="1" max="1" width="73.7109375" customWidth="1"/>
    <col min="2" max="2" width="18.28515625" customWidth="1"/>
    <col min="3" max="3" width="31.7109375" customWidth="1"/>
    <col min="4" max="4" width="239.42578125" customWidth="1"/>
    <col min="5" max="5" width="18.28515625" customWidth="1"/>
  </cols>
  <sheetData>
    <row r="1" spans="1:4" x14ac:dyDescent="0.25">
      <c r="A1" s="18" t="s">
        <v>31</v>
      </c>
      <c r="B1" s="19" t="s">
        <v>32</v>
      </c>
      <c r="C1" s="19" t="s">
        <v>49</v>
      </c>
      <c r="D1" s="18" t="s">
        <v>33</v>
      </c>
    </row>
    <row r="2" spans="1:4" x14ac:dyDescent="0.25">
      <c r="A2" s="1" t="s">
        <v>51</v>
      </c>
      <c r="B2" s="16">
        <v>7743348263</v>
      </c>
      <c r="C2" s="27">
        <v>45311</v>
      </c>
      <c r="D2" s="1" t="s">
        <v>34</v>
      </c>
    </row>
    <row r="3" spans="1:4" x14ac:dyDescent="0.25">
      <c r="A3" s="1" t="s">
        <v>52</v>
      </c>
      <c r="B3" s="17">
        <v>9704061415</v>
      </c>
      <c r="C3" s="27">
        <v>45323</v>
      </c>
      <c r="D3" s="1" t="s">
        <v>35</v>
      </c>
    </row>
    <row r="4" spans="1:4" x14ac:dyDescent="0.25">
      <c r="A4" s="20" t="s">
        <v>53</v>
      </c>
      <c r="B4" s="17">
        <v>9729308752</v>
      </c>
      <c r="C4" s="27">
        <v>45342</v>
      </c>
      <c r="D4" s="1" t="s">
        <v>36</v>
      </c>
    </row>
    <row r="5" spans="1:4" x14ac:dyDescent="0.25">
      <c r="A5" s="21" t="s">
        <v>54</v>
      </c>
      <c r="B5" s="17">
        <v>9722001070</v>
      </c>
      <c r="C5" s="27">
        <v>45355</v>
      </c>
      <c r="D5" s="1" t="s">
        <v>37</v>
      </c>
    </row>
    <row r="6" spans="1:4" x14ac:dyDescent="0.25">
      <c r="A6" s="1" t="s">
        <v>45</v>
      </c>
      <c r="B6" s="17">
        <v>9722071416</v>
      </c>
      <c r="C6" s="27">
        <v>45405</v>
      </c>
      <c r="D6" s="1" t="s">
        <v>39</v>
      </c>
    </row>
    <row r="7" spans="1:4" x14ac:dyDescent="0.25">
      <c r="A7" s="1" t="s">
        <v>55</v>
      </c>
      <c r="B7" s="17">
        <v>9724036946</v>
      </c>
      <c r="C7" s="27">
        <v>45401</v>
      </c>
      <c r="D7" s="1" t="s">
        <v>38</v>
      </c>
    </row>
    <row r="8" spans="1:4" x14ac:dyDescent="0.25">
      <c r="A8" s="1" t="s">
        <v>46</v>
      </c>
      <c r="B8" s="17">
        <v>9707031271</v>
      </c>
      <c r="C8" s="27">
        <v>45483</v>
      </c>
      <c r="D8" s="1" t="s">
        <v>44</v>
      </c>
    </row>
    <row r="9" spans="1:4" x14ac:dyDescent="0.25">
      <c r="A9" s="1" t="s">
        <v>56</v>
      </c>
      <c r="B9" s="17">
        <v>7751285120</v>
      </c>
      <c r="C9" s="27">
        <v>45534</v>
      </c>
      <c r="D9" s="1" t="s">
        <v>41</v>
      </c>
    </row>
    <row r="10" spans="1:4" x14ac:dyDescent="0.25">
      <c r="A10" s="1" t="s">
        <v>47</v>
      </c>
      <c r="B10" s="17">
        <v>9724192399</v>
      </c>
      <c r="C10" s="27">
        <v>45572</v>
      </c>
      <c r="D10" s="1" t="s">
        <v>43</v>
      </c>
    </row>
    <row r="11" spans="1:4" x14ac:dyDescent="0.25">
      <c r="A11" s="1" t="s">
        <v>57</v>
      </c>
      <c r="B11" s="17">
        <v>7733434210</v>
      </c>
      <c r="C11" s="27">
        <v>45607</v>
      </c>
      <c r="D11" s="1" t="s">
        <v>40</v>
      </c>
    </row>
    <row r="12" spans="1:4" x14ac:dyDescent="0.25">
      <c r="A12" s="1" t="s">
        <v>58</v>
      </c>
      <c r="B12" s="17">
        <v>7730316120</v>
      </c>
      <c r="C12" s="27">
        <v>45643</v>
      </c>
      <c r="D12" s="1" t="s">
        <v>42</v>
      </c>
    </row>
    <row r="15" spans="1:4" x14ac:dyDescent="0.25">
      <c r="A15" s="1"/>
      <c r="B15" s="17"/>
      <c r="C15" s="27"/>
      <c r="D15" s="1"/>
    </row>
    <row r="16" spans="1:4" x14ac:dyDescent="0.25">
      <c r="A16" s="1"/>
      <c r="B16" s="17"/>
      <c r="C16" s="27"/>
      <c r="D16" s="1"/>
    </row>
    <row r="17" spans="1:3" x14ac:dyDescent="0.25">
      <c r="A17" s="1"/>
      <c r="B17" s="17"/>
      <c r="C17" s="1"/>
    </row>
    <row r="18" spans="1:3" x14ac:dyDescent="0.25">
      <c r="A18" s="1"/>
      <c r="B18" s="17"/>
      <c r="C18" s="1"/>
    </row>
    <row r="19" spans="1:3" x14ac:dyDescent="0.25">
      <c r="A19" s="1"/>
      <c r="B19" s="17"/>
      <c r="C19" s="1"/>
    </row>
    <row r="20" spans="1:3" x14ac:dyDescent="0.25">
      <c r="A20" s="1"/>
      <c r="B20" s="17"/>
      <c r="C20" s="1"/>
    </row>
    <row r="21" spans="1:3" x14ac:dyDescent="0.25">
      <c r="A21" s="1"/>
      <c r="B21" s="17"/>
      <c r="C21" s="1"/>
    </row>
    <row r="22" spans="1:3" x14ac:dyDescent="0.25">
      <c r="A22" s="1"/>
      <c r="B22" s="17"/>
      <c r="C22" s="1"/>
    </row>
    <row r="59" spans="1:1" x14ac:dyDescent="0.25">
      <c r="A59" t="s">
        <v>29</v>
      </c>
    </row>
    <row r="60" spans="1:1" x14ac:dyDescent="0.25">
      <c r="A60" t="s">
        <v>0</v>
      </c>
    </row>
    <row r="61" spans="1:1" x14ac:dyDescent="0.25">
      <c r="A61" t="s">
        <v>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ЗАЯВКА НА ЧЕКИ</vt:lpstr>
      <vt:lpstr>СПИСОК ЧЕКОВЫХ КОМПАНИЙ</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pc</cp:lastModifiedBy>
  <dcterms:created xsi:type="dcterms:W3CDTF">2022-01-20T12:17:51Z</dcterms:created>
  <dcterms:modified xsi:type="dcterms:W3CDTF">2025-02-03T14:13:56Z</dcterms:modified>
  <cp:category/>
</cp:coreProperties>
</file>